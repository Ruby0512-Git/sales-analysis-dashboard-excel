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raveen Yadav\Downloads\"/>
    </mc:Choice>
  </mc:AlternateContent>
  <bookViews>
    <workbookView xWindow="0" yWindow="0" windowWidth="20490" windowHeight="7650" tabRatio="1000" firstSheet="4" activeTab="9"/>
  </bookViews>
  <sheets>
    <sheet name="MONTH VS SALE" sheetId="6" r:id="rId1"/>
    <sheet name="REVENUE" sheetId="11" r:id="rId2"/>
    <sheet name="AVERAGE SALES" sheetId="13" r:id="rId3"/>
    <sheet name="TOTAL ORDERS " sheetId="14" r:id="rId4"/>
    <sheet name="CATEGORY SALES" sheetId="18" r:id="rId5"/>
    <sheet name="Sheet17" sheetId="19" r:id="rId6"/>
    <sheet name="Sheet18" sheetId="20" r:id="rId7"/>
    <sheet name="Sheet19" sheetId="21" r:id="rId8"/>
    <sheet name="Sheet20" sheetId="22" r:id="rId9"/>
    <sheet name="excel_portfolio_sales_dataset (" sheetId="1" r:id="rId10"/>
    <sheet name="Final Dashboard " sheetId="17" r:id="rId11"/>
  </sheets>
  <definedNames>
    <definedName name="_xlcn.WorksheetConnection_excel_portfolio_sales_datasetA1J2011" hidden="1">'excel_portfolio_sales_dataset ('!$A$1:$J$201</definedName>
    <definedName name="Slicer_Category">#N/A</definedName>
    <definedName name="Slicer_Order_Date__Month">#N/A</definedName>
    <definedName name="Slicer_Product">#N/A</definedName>
    <definedName name="Slicer_Region">#N/A</definedName>
  </definedNames>
  <calcPr calcId="162913"/>
  <pivotCaches>
    <pivotCache cacheId="1" r:id="rId12"/>
    <pivotCache cacheId="434" r:id="rId13"/>
    <pivotCache cacheId="437" r:id="rId14"/>
    <pivotCache cacheId="440" r:id="rId15"/>
    <pivotCache cacheId="443" r:id="rId16"/>
    <pivotCache cacheId="446" r:id="rId17"/>
  </pivotCaches>
  <extLst>
    <ext xmlns:x14="http://schemas.microsoft.com/office/spreadsheetml/2009/9/main" uri="{876F7934-8845-4945-9796-88D515C7AA90}">
      <x14:pivotCaches>
        <pivotCache cacheId="8"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xcel_portfolio_sales_dataset (!$A$1:$J$201"/>
        </x15:modelTables>
        <x15:extLst>
          <ext xmlns:x16="http://schemas.microsoft.com/office/spreadsheetml/2014/11/main" uri="{9835A34E-60A6-4A7C-AAB8-D5F71C897F49}">
            <x16:modelTimeGroupings>
              <x16:modelTimeGrouping tableName="Range"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M1" i="1" l="1"/>
  <c r="L5" i="1" l="1"/>
  <c r="K17" i="1"/>
  <c r="K13" i="1"/>
  <c r="K9" i="1"/>
  <c r="K5" i="1"/>
  <c r="L2" i="1"/>
  <c r="K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xcel_portfolio_sales_dataset (!$A$1:$J$201" type="102" refreshedVersion="6" minRefreshableVersion="5">
    <extLst>
      <ext xmlns:x15="http://schemas.microsoft.com/office/spreadsheetml/2010/11/main" uri="{DE250136-89BD-433C-8126-D09CA5730AF9}">
        <x15:connection id="Range" autoDelete="1">
          <x15:rangePr sourceName="_xlcn.WorksheetConnection_excel_portfolio_sales_datasetA1J2011"/>
        </x15:connection>
      </ext>
    </extLst>
  </connection>
</connections>
</file>

<file path=xl/sharedStrings.xml><?xml version="1.0" encoding="utf-8"?>
<sst xmlns="http://schemas.openxmlformats.org/spreadsheetml/2006/main" count="1073" uniqueCount="256">
  <si>
    <t>Order_ID</t>
  </si>
  <si>
    <t>Order_Date</t>
  </si>
  <si>
    <t>Region</t>
  </si>
  <si>
    <t>Salesperson</t>
  </si>
  <si>
    <t>Category</t>
  </si>
  <si>
    <t>Product</t>
  </si>
  <si>
    <t>Quantity</t>
  </si>
  <si>
    <t>Unit_Price</t>
  </si>
  <si>
    <t>Discount_%</t>
  </si>
  <si>
    <t>Total_Sales</t>
  </si>
  <si>
    <t>ORD0001</t>
  </si>
  <si>
    <t>North</t>
  </si>
  <si>
    <t>Neha</t>
  </si>
  <si>
    <t>Electronics</t>
  </si>
  <si>
    <t>Laptop</t>
  </si>
  <si>
    <t>ORD0002</t>
  </si>
  <si>
    <t>South</t>
  </si>
  <si>
    <t>Karan</t>
  </si>
  <si>
    <t>Keyboard</t>
  </si>
  <si>
    <t>ORD0003</t>
  </si>
  <si>
    <t>East</t>
  </si>
  <si>
    <t>Aman</t>
  </si>
  <si>
    <t>Mobile</t>
  </si>
  <si>
    <t>ORD0004</t>
  </si>
  <si>
    <t>Furniture</t>
  </si>
  <si>
    <t>Cupboard</t>
  </si>
  <si>
    <t>ORD0005</t>
  </si>
  <si>
    <t>ORD0006</t>
  </si>
  <si>
    <t>Groceries</t>
  </si>
  <si>
    <t>Rice</t>
  </si>
  <si>
    <t>ORD0007</t>
  </si>
  <si>
    <t>Chair</t>
  </si>
  <si>
    <t>ORD0008</t>
  </si>
  <si>
    <t>Priya</t>
  </si>
  <si>
    <t>Sugar</t>
  </si>
  <si>
    <t>ORD0009</t>
  </si>
  <si>
    <t>West</t>
  </si>
  <si>
    <t>Sneha</t>
  </si>
  <si>
    <t>Clothing</t>
  </si>
  <si>
    <t>Shirt</t>
  </si>
  <si>
    <t>ORD0010</t>
  </si>
  <si>
    <t>Jeans</t>
  </si>
  <si>
    <t>ORD0011</t>
  </si>
  <si>
    <t>ORD0012</t>
  </si>
  <si>
    <t>Oil</t>
  </si>
  <si>
    <t>ORD0013</t>
  </si>
  <si>
    <t>Milk</t>
  </si>
  <si>
    <t>ORD0014</t>
  </si>
  <si>
    <t>ORD0015</t>
  </si>
  <si>
    <t>ORD0016</t>
  </si>
  <si>
    <t>Jacket</t>
  </si>
  <si>
    <t>ORD0017</t>
  </si>
  <si>
    <t>ORD0018</t>
  </si>
  <si>
    <t>ORD0019</t>
  </si>
  <si>
    <t>ORD0020</t>
  </si>
  <si>
    <t>ORD0021</t>
  </si>
  <si>
    <t>Sofa</t>
  </si>
  <si>
    <t>ORD0022</t>
  </si>
  <si>
    <t>Shoes</t>
  </si>
  <si>
    <t>ORD0023</t>
  </si>
  <si>
    <t>Headphones</t>
  </si>
  <si>
    <t>ORD0024</t>
  </si>
  <si>
    <t>ORD0025</t>
  </si>
  <si>
    <t>ORD0026</t>
  </si>
  <si>
    <t>Rohit</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</si>
  <si>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</si>
  <si>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</si>
  <si>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</si>
  <si>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</si>
  <si>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</si>
  <si>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</si>
  <si>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</si>
  <si>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</si>
  <si>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</si>
  <si>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</si>
  <si>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</si>
  <si>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</si>
  <si>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</si>
  <si>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</si>
  <si>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</si>
  <si>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</si>
  <si>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</si>
  <si>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</si>
  <si>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</si>
  <si>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</si>
  <si>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</si>
  <si>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</si>
  <si>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Table</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</si>
  <si>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</si>
  <si>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</si>
  <si>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</si>
  <si>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</si>
  <si>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</si>
  <si>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</si>
  <si>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</si>
  <si>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</si>
  <si>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</si>
  <si>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</si>
  <si>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</si>
  <si>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</si>
  <si>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</si>
  <si>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</si>
  <si>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</si>
  <si>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</si>
  <si>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</si>
  <si>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</si>
  <si>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</si>
  <si>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</si>
  <si>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</si>
  <si>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</si>
  <si>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</si>
  <si>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</si>
  <si>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</si>
  <si>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</si>
  <si>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</si>
  <si>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</si>
  <si>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</si>
  <si>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</si>
  <si>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</si>
  <si>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</si>
  <si>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</si>
  <si>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</si>
  <si>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</si>
  <si>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</si>
  <si>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</si>
  <si>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</si>
  <si>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</si>
  <si>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</si>
  <si>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</si>
  <si>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</si>
  <si>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</si>
  <si>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</si>
  <si>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</si>
  <si>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</si>
  <si>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</si>
  <si>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</si>
  <si>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</si>
  <si>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</si>
  <si>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</si>
  <si>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</si>
  <si>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</si>
  <si>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</si>
  <si>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</si>
  <si>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</si>
  <si>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</si>
  <si>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</si>
  <si>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</si>
  <si>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</si>
  <si>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</si>
  <si>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</si>
  <si>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</si>
  <si>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</si>
  <si>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</si>
  <si>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</si>
  <si>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</si>
  <si>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</si>
  <si>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</si>
  <si>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</si>
  <si>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</si>
  <si>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</si>
  <si>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</si>
  <si>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</si>
  <si>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</si>
  <si>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</si>
  <si>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</si>
  <si>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</si>
  <si>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</si>
  <si>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</si>
  <si>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</si>
  <si>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</si>
  <si>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</si>
  <si>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</si>
  <si>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</si>
  <si>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</si>
  <si>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</si>
  <si>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</si>
  <si>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</si>
  <si>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</si>
  <si>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</si>
  <si>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</si>
  <si>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</si>
  <si>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</si>
  <si>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</si>
  <si>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</si>
  <si>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</si>
  <si>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</si>
  <si>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</si>
  <si>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</si>
  <si>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</si>
  <si>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</si>
  <si>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</si>
  <si>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</si>
  <si>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</si>
  <si>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</si>
  <si>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</si>
  <si>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</si>
  <si>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</si>
  <si>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</si>
  <si>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</si>
  <si>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</si>
  <si>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</si>
  <si>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</si>
  <si>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</si>
  <si>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</si>
  <si>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</si>
  <si>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</si>
  <si>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</si>
  <si>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</si>
  <si>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</si>
  <si>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</si>
  <si>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</si>
  <si>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</si>
  <si>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</si>
  <si>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</si>
  <si>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</si>
  <si>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</si>
  <si>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</si>
  <si>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</si>
  <si>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</si>
  <si>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</si>
  <si>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</si>
  <si>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</si>
  <si>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</si>
  <si>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</si>
  <si>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</si>
  <si>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</si>
  <si>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</si>
  <si>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</si>
  <si>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</si>
  <si>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</si>
  <si>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</si>
  <si>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</si>
  <si>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</si>
  <si>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</si>
  <si>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</si>
  <si>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</si>
  <si>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</si>
  <si>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</si>
  <si>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</si>
  <si>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</si>
  <si>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 xml:space="preserve">Total_revenue </t>
  </si>
  <si>
    <t xml:space="preserve">Total AVG </t>
  </si>
  <si>
    <t>clothing category</t>
  </si>
  <si>
    <t>cnt TOTAL ELEC.</t>
  </si>
  <si>
    <t xml:space="preserve">cnt of orders </t>
  </si>
  <si>
    <t>Row Labels</t>
  </si>
  <si>
    <t>Grand Total</t>
  </si>
  <si>
    <t>Sum of Total_Sales</t>
  </si>
  <si>
    <t>Jan</t>
  </si>
  <si>
    <t>Feb</t>
  </si>
  <si>
    <t>Mar</t>
  </si>
  <si>
    <t>Apr</t>
  </si>
  <si>
    <t>May</t>
  </si>
  <si>
    <t>Jun</t>
  </si>
  <si>
    <t>Average of Total_Sales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</si>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</sst>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2" fontId="0" fillId="0" borderId="0" xfId="0" applyNumberFormat="1"/>
    <xf numFmtId="164" fontId="0" fillId="0" borderId="0" xfId="0" applyNumberFormat="1"/>
    <xf numFmtId="49" fontId="0" fillId="0" borderId="0" xfId="0" applyNumberFormat="1"/>
    <xf numFmtId="0" fontId="0" fillId="0" borderId="0" xfId="0" applyNumberFormat="1"/>
    <xf numFmtId="0" fontId="0" fillId="0" borderId="0" xfId="0" applyAlignment="1">
      <alignment horizontal="left"/>
    </xf>
    <xf numFmtId="0" fontId="0" fillId="0" borderId="0" xfId="0" pivotButton="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(1).xlsx]MONTH VS SALE!PivotTable6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v/s Sale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'MONTH VS SALE'!$B$3</c:f>
              <c:strCache>
                <c:ptCount val="1"/>
                <c:pt idx="0">
                  <c:v>Total</c:v>
                </c:pt>
              </c:strCache>
            </c:strRef>
          </c:tx>
          <c:spPr>
            <a:ln w="28575" cap="rnd">
              <a:solidFill>
                <a:schemeClr val="accent1"/>
              </a:solidFill>
              <a:round/>
            </a:ln>
            <a:effectLst/>
          </c:spPr>
          <c:marker>
            <c:symbol val="none"/>
          </c:marker>
          <c:cat>
            <c:strRef>
              <c:f>'MONTH VS SALE'!$A$4:$A$9</c:f>
              <c:strCache>
                <c:ptCount val="6"/>
                <c:pt idx="0">
                  <c:v>Jan</c:v>
                </c:pt>
                <c:pt idx="1">
                  <c:v>Feb</c:v>
                </c:pt>
                <c:pt idx="2">
                  <c:v>Mar</c:v>
                </c:pt>
                <c:pt idx="3">
                  <c:v>Apr</c:v>
                </c:pt>
                <c:pt idx="4">
                  <c:v>May</c:v>
                </c:pt>
                <c:pt idx="5">
                  <c:v>Jun</c:v>
                </c:pt>
              </c:strCache>
            </c:strRef>
          </c:cat>
          <c:val>
            <c:numRef>
              <c:f>'MONTH VS SALE'!$B$4:$B$9</c:f>
              <c:numCache>
                <c:formatCode>General</c:formatCode>
                <c:ptCount val="6"/>
                <c:pt idx="0">
                  <c:v>582551.14999999979</c:v>
                </c:pt>
                <c:pt idx="1">
                  <c:v>549190.1</c:v>
                </c:pt>
                <c:pt idx="2">
                  <c:v>801092.90000000014</c:v>
                </c:pt>
                <c:pt idx="3">
                  <c:v>1005171.2999999999</c:v>
                </c:pt>
                <c:pt idx="4">
                  <c:v>919885.35</c:v>
                </c:pt>
                <c:pt idx="5">
                  <c:v>1105788.6500000001</c:v>
                </c:pt>
              </c:numCache>
            </c:numRef>
          </c:val>
          <c:smooth val="0"/>
          <c:extLst>
            <c:ext xmlns:c16="http://schemas.microsoft.com/office/drawing/2014/chart" uri="{C3380CC4-5D6E-409C-BE32-E72D297353CC}">
              <c16:uniqueId val="{00000000-9D05-4DB0-8B2E-FD6E81F245A3}"/>
            </c:ext>
          </c:extLst>
        </c:ser>
        <c:dLbls>
          <c:showLegendKey val="0"/>
          <c:showVal val="0"/>
          <c:showCatName val="0"/>
          <c:showSerName val="0"/>
          <c:showPercent val="0"/>
          <c:showBubbleSize val="0"/>
        </c:dLbls>
        <c:smooth val="0"/>
        <c:axId val="1653554432"/>
        <c:axId val="1653556512"/>
      </c:lineChart>
      <c:catAx>
        <c:axId val="165355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56512"/>
        <c:crosses val="autoZero"/>
        <c:auto val="1"/>
        <c:lblAlgn val="ctr"/>
        <c:lblOffset val="100"/>
        <c:noMultiLvlLbl val="0"/>
      </c:catAx>
      <c:valAx>
        <c:axId val="16535565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54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(1).xlsx]AVERAGE SALES!PivotTable16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'AVERAGE SALES'!$A$3</c:f>
              <c:strCache>
                <c:ptCount val="1"/>
                <c:pt idx="0">
                  <c:v>Total</c:v>
                </c:pt>
              </c:strCache>
            </c:strRef>
          </c:tx>
          <c:spPr>
            <a:solidFill>
              <a:schemeClr val="accent1"/>
            </a:solidFill>
            <a:ln>
              <a:noFill/>
            </a:ln>
            <a:effectLst/>
          </c:spPr>
          <c:invertIfNegative val="0"/>
          <c:cat>
            <c:strRef>
              <c:f>'AVERAGE SALES'!$A$4</c:f>
              <c:strCache>
                <c:ptCount val="1"/>
                <c:pt idx="0">
                  <c:v>Total</c:v>
                </c:pt>
              </c:strCache>
            </c:strRef>
          </c:cat>
          <c:val>
            <c:numRef>
              <c:f>'AVERAGE SALES'!$A$4</c:f>
              <c:numCache>
                <c:formatCode>0</c:formatCode>
                <c:ptCount val="1"/>
                <c:pt idx="0">
                  <c:v>24818.397249999995</c:v>
                </c:pt>
              </c:numCache>
            </c:numRef>
          </c:val>
          <c:extLst>
            <c:ext xmlns:c16="http://schemas.microsoft.com/office/drawing/2014/chart" uri="{C3380CC4-5D6E-409C-BE32-E72D297353CC}">
              <c16:uniqueId val="{00000000-7F43-404C-B007-2DEBB884C44C}"/>
            </c:ext>
          </c:extLst>
        </c:ser>
        <c:dLbls>
          <c:showLegendKey val="0"/>
          <c:showVal val="0"/>
          <c:showCatName val="0"/>
          <c:showSerName val="0"/>
          <c:showPercent val="0"/>
          <c:showBubbleSize val="0"/>
        </c:dLbls>
        <c:gapWidth val="219"/>
        <c:overlap val="-27"/>
        <c:axId val="1650713888"/>
        <c:axId val="1650714720"/>
      </c:barChart>
      <c:catAx>
        <c:axId val="165071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14720"/>
        <c:crosses val="autoZero"/>
        <c:auto val="1"/>
        <c:lblAlgn val="ctr"/>
        <c:lblOffset val="100"/>
        <c:noMultiLvlLbl val="0"/>
      </c:catAx>
      <c:valAx>
        <c:axId val="1650714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13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(1).xlsx]TOTAL ORDERS !PivotTable17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ORDERS '!$A$3</c:f>
              <c:strCache>
                <c:ptCount val="1"/>
                <c:pt idx="0">
                  <c:v>Total</c:v>
                </c:pt>
              </c:strCache>
            </c:strRef>
          </c:tx>
          <c:spPr>
            <a:solidFill>
              <a:schemeClr val="accent1"/>
            </a:solidFill>
            <a:ln>
              <a:noFill/>
            </a:ln>
            <a:effectLst/>
          </c:spPr>
          <c:invertIfNegative val="0"/>
          <c:cat>
            <c:strRef>
              <c:f>'TOTAL ORDERS '!$A$4</c:f>
              <c:strCache>
                <c:ptCount val="1"/>
                <c:pt idx="0">
                  <c:v>Total</c:v>
                </c:pt>
              </c:strCache>
            </c:strRef>
          </c:cat>
          <c:val>
            <c:numRef>
              <c:f>'TOTAL ORDERS '!$A$4</c:f>
              <c:numCache>
                <c:formatCode>General</c:formatCode>
                <c:ptCount val="1"/>
                <c:pt idx="0">
                  <c:v>200</c:v>
                </c:pt>
              </c:numCache>
            </c:numRef>
          </c:val>
          <c:extLst>
            <c:ext xmlns:c16="http://schemas.microsoft.com/office/drawing/2014/chart" uri="{C3380CC4-5D6E-409C-BE32-E72D297353CC}">
              <c16:uniqueId val="{00000000-37EE-42BA-832A-A3B31DE54C2E}"/>
            </c:ext>
          </c:extLst>
        </c:ser>
        <c:dLbls>
          <c:showLegendKey val="0"/>
          <c:showVal val="0"/>
          <c:showCatName val="0"/>
          <c:showSerName val="0"/>
          <c:showPercent val="0"/>
          <c:showBubbleSize val="0"/>
        </c:dLbls>
        <c:gapWidth val="219"/>
        <c:overlap val="-27"/>
        <c:axId val="1653561504"/>
        <c:axId val="1653556096"/>
      </c:barChart>
      <c:catAx>
        <c:axId val="165356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56096"/>
        <c:crosses val="autoZero"/>
        <c:auto val="1"/>
        <c:lblAlgn val="ctr"/>
        <c:lblOffset val="100"/>
        <c:noMultiLvlLbl val="0"/>
      </c:catAx>
      <c:valAx>
        <c:axId val="165355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561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(1).xlsx]CATEGORY SALES!PivotTable20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SALES'!$A$4:$A$7</c:f>
              <c:strCache>
                <c:ptCount val="4"/>
                <c:pt idx="0">
                  <c:v>Clothing</c:v>
                </c:pt>
                <c:pt idx="1">
                  <c:v>Electronics</c:v>
                </c:pt>
                <c:pt idx="2">
                  <c:v>Furniture</c:v>
                </c:pt>
                <c:pt idx="3">
                  <c:v>Groceries</c:v>
                </c:pt>
              </c:strCache>
            </c:strRef>
          </c:cat>
          <c:val>
            <c:numRef>
              <c:f>'CATEGORY SALES'!$B$4:$B$7</c:f>
              <c:numCache>
                <c:formatCode>General</c:formatCode>
                <c:ptCount val="4"/>
                <c:pt idx="0">
                  <c:v>983753.65</c:v>
                </c:pt>
                <c:pt idx="1">
                  <c:v>788535.8</c:v>
                </c:pt>
                <c:pt idx="2">
                  <c:v>775108.25</c:v>
                </c:pt>
                <c:pt idx="3">
                  <c:v>1032637.7</c:v>
                </c:pt>
              </c:numCache>
            </c:numRef>
          </c:val>
          <c:extLst>
            <c:ext xmlns:c16="http://schemas.microsoft.com/office/drawing/2014/chart" uri="{C3380CC4-5D6E-409C-BE32-E72D297353CC}">
              <c16:uniqueId val="{00000000-69E4-4AB3-BD78-6DBC87F7D916}"/>
            </c:ext>
          </c:extLst>
        </c:ser>
        <c:dLbls>
          <c:showLegendKey val="0"/>
          <c:showVal val="0"/>
          <c:showCatName val="0"/>
          <c:showSerName val="0"/>
          <c:showPercent val="0"/>
          <c:showBubbleSize val="0"/>
        </c:dLbls>
        <c:gapWidth val="219"/>
        <c:overlap val="-27"/>
        <c:axId val="1606235456"/>
        <c:axId val="1606241280"/>
      </c:barChart>
      <c:catAx>
        <c:axId val="160623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41280"/>
        <c:crosses val="autoZero"/>
        <c:auto val="1"/>
        <c:lblAlgn val="ctr"/>
        <c:lblOffset val="100"/>
        <c:noMultiLvlLbl val="0"/>
      </c:catAx>
      <c:valAx>
        <c:axId val="1606241280"/>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35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(1).xlsx]Sheet17!PivotTable21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Sheet17!$B$3</c:f>
              <c:strCache>
                <c:ptCount val="1"/>
                <c:pt idx="0">
                  <c:v>Total</c:v>
                </c:pt>
              </c:strCache>
            </c:strRef>
          </c:tx>
          <c:spPr>
            <a:ln w="28575" cap="rnd">
              <a:solidFill>
                <a:schemeClr val="accent1"/>
              </a:solidFill>
              <a:round/>
            </a:ln>
            <a:effectLst/>
          </c:spPr>
          <c:marker>
            <c:symbol val="none"/>
          </c:marker>
          <c:cat>
            <c:strRef>
              <c:f>Sheet17!$A$4:$A$7</c:f>
              <c:strCache>
                <c:ptCount val="4"/>
                <c:pt idx="0">
                  <c:v>Feb</c:v>
                </c:pt>
                <c:pt idx="1">
                  <c:v>Apr</c:v>
                </c:pt>
                <c:pt idx="2">
                  <c:v>May</c:v>
                </c:pt>
                <c:pt idx="3">
                  <c:v>Jun</c:v>
                </c:pt>
              </c:strCache>
            </c:strRef>
          </c:cat>
          <c:val>
            <c:numRef>
              <c:f>Sheet17!$B$4:$B$7</c:f>
              <c:numCache>
                <c:formatCode>General</c:formatCode>
                <c:ptCount val="4"/>
                <c:pt idx="0">
                  <c:v>549190.1</c:v>
                </c:pt>
                <c:pt idx="1">
                  <c:v>1005171.3</c:v>
                </c:pt>
                <c:pt idx="2">
                  <c:v>919885.35</c:v>
                </c:pt>
                <c:pt idx="3">
                  <c:v>1105788.6499999999</c:v>
                </c:pt>
              </c:numCache>
            </c:numRef>
          </c:val>
          <c:smooth val="0"/>
          <c:extLst>
            <c:ext xmlns:c16="http://schemas.microsoft.com/office/drawing/2014/chart" uri="{C3380CC4-5D6E-409C-BE32-E72D297353CC}">
              <c16:uniqueId val="{00000001-DEFF-4DEA-A722-F35D768939E5}"/>
            </c:ext>
          </c:extLst>
        </c:ser>
        <c:dLbls>
          <c:showLegendKey val="0"/>
          <c:showVal val="0"/>
          <c:showCatName val="0"/>
          <c:showSerName val="0"/>
          <c:showPercent val="0"/>
          <c:showBubbleSize val="0"/>
        </c:dLbls>
        <c:smooth val="0"/>
        <c:axId val="1752584928"/>
        <c:axId val="1752593664"/>
      </c:lineChart>
      <c:catAx>
        <c:axId val="175258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93664"/>
        <c:crosses val="autoZero"/>
        <c:auto val="1"/>
        <c:lblAlgn val="ctr"/>
        <c:lblOffset val="100"/>
        <c:noMultiLvlLbl val="0"/>
      </c:catAx>
      <c:valAx>
        <c:axId val="1752593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84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(1).xlsx]Sheet18!PivotTable22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Sheet18!$B$3</c:f>
              <c:strCache>
                <c:ptCount val="1"/>
                <c:pt idx="0">
                  <c:v>Total</c:v>
                </c:pt>
              </c:strCache>
            </c:strRef>
          </c:tx>
          <c:spPr>
            <a:solidFill>
              <a:schemeClr val="accent1"/>
            </a:solidFill>
            <a:ln>
              <a:noFill/>
            </a:ln>
            <a:effectLst/>
          </c:spPr>
          <c:invertIfNegative val="0"/>
          <c:cat>
            <c:strRef>
              <c:f>Sheet18!$A$4:$A$10</c:f>
              <c:strCache>
                <c:ptCount val="6"/>
                <c:pt idx="0">
                  <c:v>Aman</c:v>
                </c:pt>
                <c:pt idx="1">
                  <c:v>Karan</c:v>
                </c:pt>
                <c:pt idx="2">
                  <c:v>Neha</c:v>
                </c:pt>
                <c:pt idx="3">
                  <c:v>Priya</c:v>
                </c:pt>
                <c:pt idx="4">
                  <c:v>Rohit</c:v>
                </c:pt>
                <c:pt idx="5">
                  <c:v>Sneha</c:v>
                </c:pt>
              </c:strCache>
            </c:strRef>
          </c:cat>
          <c:val>
            <c:numRef>
              <c:f>Sheet18!$B$4:$B$10</c:f>
              <c:numCache>
                <c:formatCode>General</c:formatCode>
                <c:ptCount val="6"/>
                <c:pt idx="0">
                  <c:v>718354.55</c:v>
                </c:pt>
                <c:pt idx="1">
                  <c:v>253371</c:v>
                </c:pt>
                <c:pt idx="2">
                  <c:v>884701.9</c:v>
                </c:pt>
                <c:pt idx="3">
                  <c:v>444097.2</c:v>
                </c:pt>
                <c:pt idx="4">
                  <c:v>420189.7</c:v>
                </c:pt>
                <c:pt idx="5">
                  <c:v>859321.05</c:v>
                </c:pt>
              </c:numCache>
            </c:numRef>
          </c:val>
          <c:extLst>
            <c:ext xmlns:c16="http://schemas.microsoft.com/office/drawing/2014/chart" uri="{C3380CC4-5D6E-409C-BE32-E72D297353CC}">
              <c16:uniqueId val="{00000000-3B26-492C-9803-8B6673A36C47}"/>
            </c:ext>
          </c:extLst>
        </c:ser>
        <c:dLbls>
          <c:showLegendKey val="0"/>
          <c:showVal val="0"/>
          <c:showCatName val="0"/>
          <c:showSerName val="0"/>
          <c:showPercent val="0"/>
          <c:showBubbleSize val="0"/>
        </c:dLbls>
        <c:gapWidth val="219"/>
        <c:overlap val="-27"/>
        <c:axId val="1650727616"/>
        <c:axId val="1650714304"/>
      </c:barChart>
      <c:catAx>
        <c:axId val="165072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14304"/>
        <c:crosses val="autoZero"/>
        <c:auto val="1"/>
        <c:lblAlgn val="ctr"/>
        <c:lblOffset val="100"/>
        <c:noMultiLvlLbl val="0"/>
      </c:catAx>
      <c:valAx>
        <c:axId val="16507143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27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(1).xlsx]Sheet19!PivotTable23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Sheet19!$B$3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4B7-4EED-9CD0-02F6BBB1D999}"/>
              </c:ext>
            </c:extLst>
          </c:dPt>
          <c:dPt>
            <c:idx val="1"/>
            <c:bubble3D val="0"/>
            <c:spPr>
              <a:solidFill>
                <a:schemeClr val="accent2"/>
              </a:solidFill>
              <a:ln>
                <a:noFill/>
              </a:ln>
              <a:effectLst/>
            </c:spPr>
            <c:extLst>
              <c:ext xmlns:c16="http://schemas.microsoft.com/office/drawing/2014/chart" uri="{C3380CC4-5D6E-409C-BE32-E72D297353CC}">
                <c16:uniqueId val="{00000003-E4B7-4EED-9CD0-02F6BBB1D999}"/>
              </c:ext>
            </c:extLst>
          </c:dPt>
          <c:dPt>
            <c:idx val="2"/>
            <c:bubble3D val="0"/>
            <c:spPr>
              <a:solidFill>
                <a:schemeClr val="accent3"/>
              </a:solidFill>
              <a:ln>
                <a:noFill/>
              </a:ln>
              <a:effectLst/>
            </c:spPr>
            <c:extLst>
              <c:ext xmlns:c16="http://schemas.microsoft.com/office/drawing/2014/chart" uri="{C3380CC4-5D6E-409C-BE32-E72D297353CC}">
                <c16:uniqueId val="{00000005-E4B7-4EED-9CD0-02F6BBB1D999}"/>
              </c:ext>
            </c:extLst>
          </c:dPt>
          <c:dPt>
            <c:idx val="3"/>
            <c:bubble3D val="0"/>
            <c:spPr>
              <a:solidFill>
                <a:schemeClr val="accent4"/>
              </a:solidFill>
              <a:ln>
                <a:noFill/>
              </a:ln>
              <a:effectLst/>
            </c:spPr>
            <c:extLst>
              <c:ext xmlns:c16="http://schemas.microsoft.com/office/drawing/2014/chart" uri="{C3380CC4-5D6E-409C-BE32-E72D297353CC}">
                <c16:uniqueId val="{00000007-E4B7-4EED-9CD0-02F6BBB1D999}"/>
              </c:ext>
            </c:extLst>
          </c:dPt>
          <c:dPt>
            <c:idx val="4"/>
            <c:bubble3D val="0"/>
            <c:spPr>
              <a:solidFill>
                <a:schemeClr val="accent5"/>
              </a:solidFill>
              <a:ln>
                <a:noFill/>
              </a:ln>
              <a:effectLst/>
            </c:spPr>
            <c:extLst>
              <c:ext xmlns:c16="http://schemas.microsoft.com/office/drawing/2014/chart" uri="{C3380CC4-5D6E-409C-BE32-E72D297353CC}">
                <c16:uniqueId val="{00000009-E4B7-4EED-9CD0-02F6BBB1D999}"/>
              </c:ext>
            </c:extLst>
          </c:dPt>
          <c:dPt>
            <c:idx val="5"/>
            <c:bubble3D val="0"/>
            <c:spPr>
              <a:solidFill>
                <a:schemeClr val="accent6"/>
              </a:solidFill>
              <a:ln>
                <a:noFill/>
              </a:ln>
              <a:effectLst/>
            </c:spPr>
            <c:extLst>
              <c:ext xmlns:c16="http://schemas.microsoft.com/office/drawing/2014/chart" uri="{C3380CC4-5D6E-409C-BE32-E72D297353CC}">
                <c16:uniqueId val="{0000000B-E4B7-4EED-9CD0-02F6BBB1D99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4B7-4EED-9CD0-02F6BBB1D99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4B7-4EED-9CD0-02F6BBB1D99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4B7-4EED-9CD0-02F6BBB1D999}"/>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E4B7-4EED-9CD0-02F6BBB1D999}"/>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E4B7-4EED-9CD0-02F6BBB1D999}"/>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E4B7-4EED-9CD0-02F6BBB1D999}"/>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E4B7-4EED-9CD0-02F6BBB1D999}"/>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E4B7-4EED-9CD0-02F6BBB1D999}"/>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E4B7-4EED-9CD0-02F6BBB1D999}"/>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E4B7-4EED-9CD0-02F6BBB1D999}"/>
              </c:ext>
            </c:extLst>
          </c:dPt>
          <c:cat>
            <c:strRef>
              <c:f>Sheet19!$A$4:$A$20</c:f>
              <c:strCache>
                <c:ptCount val="16"/>
                <c:pt idx="0">
                  <c:v>Chair</c:v>
                </c:pt>
                <c:pt idx="1">
                  <c:v>Cupboard</c:v>
                </c:pt>
                <c:pt idx="2">
                  <c:v>Headphones</c:v>
                </c:pt>
                <c:pt idx="3">
                  <c:v>Jacket</c:v>
                </c:pt>
                <c:pt idx="4">
                  <c:v>Jeans</c:v>
                </c:pt>
                <c:pt idx="5">
                  <c:v>Keyboard</c:v>
                </c:pt>
                <c:pt idx="6">
                  <c:v>Laptop</c:v>
                </c:pt>
                <c:pt idx="7">
                  <c:v>Milk</c:v>
                </c:pt>
                <c:pt idx="8">
                  <c:v>Mobile</c:v>
                </c:pt>
                <c:pt idx="9">
                  <c:v>Oil</c:v>
                </c:pt>
                <c:pt idx="10">
                  <c:v>Rice</c:v>
                </c:pt>
                <c:pt idx="11">
                  <c:v>Shirt</c:v>
                </c:pt>
                <c:pt idx="12">
                  <c:v>Shoes</c:v>
                </c:pt>
                <c:pt idx="13">
                  <c:v>Sofa</c:v>
                </c:pt>
                <c:pt idx="14">
                  <c:v>Sugar</c:v>
                </c:pt>
                <c:pt idx="15">
                  <c:v>Table</c:v>
                </c:pt>
              </c:strCache>
            </c:strRef>
          </c:cat>
          <c:val>
            <c:numRef>
              <c:f>Sheet19!$B$4:$B$20</c:f>
              <c:numCache>
                <c:formatCode>General</c:formatCode>
                <c:ptCount val="16"/>
                <c:pt idx="0">
                  <c:v>253330.3</c:v>
                </c:pt>
                <c:pt idx="1">
                  <c:v>200433.05</c:v>
                </c:pt>
                <c:pt idx="2">
                  <c:v>153513.65</c:v>
                </c:pt>
                <c:pt idx="3">
                  <c:v>93478.1</c:v>
                </c:pt>
                <c:pt idx="4">
                  <c:v>463313.5</c:v>
                </c:pt>
                <c:pt idx="5">
                  <c:v>148983.79999999999</c:v>
                </c:pt>
                <c:pt idx="6">
                  <c:v>220834.1</c:v>
                </c:pt>
                <c:pt idx="7">
                  <c:v>238863.2</c:v>
                </c:pt>
                <c:pt idx="8">
                  <c:v>265204.25</c:v>
                </c:pt>
                <c:pt idx="9">
                  <c:v>228057.55</c:v>
                </c:pt>
                <c:pt idx="10">
                  <c:v>270857.15000000002</c:v>
                </c:pt>
                <c:pt idx="11">
                  <c:v>170600.45</c:v>
                </c:pt>
                <c:pt idx="12">
                  <c:v>256361.60000000001</c:v>
                </c:pt>
                <c:pt idx="13">
                  <c:v>277356.75</c:v>
                </c:pt>
                <c:pt idx="14">
                  <c:v>294859.8</c:v>
                </c:pt>
                <c:pt idx="15">
                  <c:v>43988.15</c:v>
                </c:pt>
              </c:numCache>
            </c:numRef>
          </c:val>
          <c:extLst>
            <c:ext xmlns:c16="http://schemas.microsoft.com/office/drawing/2014/chart" uri="{C3380CC4-5D6E-409C-BE32-E72D297353CC}">
              <c16:uniqueId val="{00000000-8DC1-4A56-9AEB-3DF1DB3AC1F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(1).xlsx]Sheet20!PivotTable24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Sheet20!$B$3</c:f>
              <c:strCache>
                <c:ptCount val="1"/>
                <c:pt idx="0">
                  <c:v>Total</c:v>
                </c:pt>
              </c:strCache>
            </c:strRef>
          </c:tx>
          <c:spPr>
            <a:solidFill>
              <a:schemeClr val="accent1"/>
            </a:solidFill>
            <a:ln>
              <a:noFill/>
            </a:ln>
            <a:effectLst/>
          </c:spPr>
          <c:invertIfNegative val="0"/>
          <c:cat>
            <c:strRef>
              <c:f>Sheet20!$A$4:$A$7</c:f>
              <c:strCache>
                <c:ptCount val="4"/>
                <c:pt idx="0">
                  <c:v>East</c:v>
                </c:pt>
                <c:pt idx="1">
                  <c:v>North</c:v>
                </c:pt>
                <c:pt idx="2">
                  <c:v>South</c:v>
                </c:pt>
                <c:pt idx="3">
                  <c:v>West</c:v>
                </c:pt>
              </c:strCache>
            </c:strRef>
          </c:cat>
          <c:val>
            <c:numRef>
              <c:f>Sheet20!$B$4:$B$7</c:f>
              <c:numCache>
                <c:formatCode>General</c:formatCode>
                <c:ptCount val="4"/>
                <c:pt idx="0">
                  <c:v>1155565.05</c:v>
                </c:pt>
                <c:pt idx="1">
                  <c:v>728656.4</c:v>
                </c:pt>
                <c:pt idx="2">
                  <c:v>596089.30000000005</c:v>
                </c:pt>
                <c:pt idx="3">
                  <c:v>1099724.6499999999</c:v>
                </c:pt>
              </c:numCache>
            </c:numRef>
          </c:val>
          <c:extLst>
            <c:ext xmlns:c16="http://schemas.microsoft.com/office/drawing/2014/chart" uri="{C3380CC4-5D6E-409C-BE32-E72D297353CC}">
              <c16:uniqueId val="{00000000-6DB0-4493-AF92-D12386A6AC1E}"/>
            </c:ext>
          </c:extLst>
        </c:ser>
        <c:dLbls>
          <c:showLegendKey val="0"/>
          <c:showVal val="0"/>
          <c:showCatName val="0"/>
          <c:showSerName val="0"/>
          <c:showPercent val="0"/>
          <c:showBubbleSize val="0"/>
        </c:dLbls>
        <c:gapWidth val="219"/>
        <c:overlap val="-27"/>
        <c:axId val="1752588256"/>
        <c:axId val="1752584512"/>
      </c:barChart>
      <c:catAx>
        <c:axId val="17525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84512"/>
        <c:crosses val="autoZero"/>
        <c:auto val="1"/>
        <c:lblAlgn val="ctr"/>
        <c:lblOffset val="100"/>
        <c:noMultiLvlLbl val="0"/>
      </c:catAx>
      <c:valAx>
        <c:axId val="17525845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88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(1).xlsx]CATEGORY SALES!PivotTable20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a:t>
            </a:r>
          </a:p>
          <a:p>
            <a:pPr>
              <a:defRPr/>
            </a:pPr>
            <a:endParaRPr lang="en-US"/>
          </a:p>
        </c:rich>
      </c:tx>
      <c:layout>
        <c:manualLayout>
          <c:xMode val="edge"/>
          <c:yMode val="edge"/>
          <c:x val="2.5678040244968438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SALES'!$A$4:$A$7</c:f>
              <c:strCache>
                <c:ptCount val="4"/>
                <c:pt idx="0">
                  <c:v>Clothing</c:v>
                </c:pt>
                <c:pt idx="1">
                  <c:v>Electronics</c:v>
                </c:pt>
                <c:pt idx="2">
                  <c:v>Furniture</c:v>
                </c:pt>
                <c:pt idx="3">
                  <c:v>Groceries</c:v>
                </c:pt>
              </c:strCache>
            </c:strRef>
          </c:cat>
          <c:val>
            <c:numRef>
              <c:f>'CATEGORY SALES'!$B$4:$B$7</c:f>
              <c:numCache>
                <c:formatCode>General</c:formatCode>
                <c:ptCount val="4"/>
                <c:pt idx="0">
                  <c:v>983753.65</c:v>
                </c:pt>
                <c:pt idx="1">
                  <c:v>788535.8</c:v>
                </c:pt>
                <c:pt idx="2">
                  <c:v>775108.25</c:v>
                </c:pt>
                <c:pt idx="3">
                  <c:v>1032637.7</c:v>
                </c:pt>
              </c:numCache>
            </c:numRef>
          </c:val>
          <c:extLst>
            <c:ext xmlns:c16="http://schemas.microsoft.com/office/drawing/2014/chart" uri="{C3380CC4-5D6E-409C-BE32-E72D297353CC}">
              <c16:uniqueId val="{00000000-026E-4A07-92A9-F8D8A69F25BA}"/>
            </c:ext>
          </c:extLst>
        </c:ser>
        <c:dLbls>
          <c:showLegendKey val="0"/>
          <c:showVal val="0"/>
          <c:showCatName val="0"/>
          <c:showSerName val="0"/>
          <c:showPercent val="0"/>
          <c:showBubbleSize val="0"/>
        </c:dLbls>
        <c:gapWidth val="219"/>
        <c:overlap val="-27"/>
        <c:axId val="1606235456"/>
        <c:axId val="1606241280"/>
      </c:barChart>
      <c:catAx>
        <c:axId val="160623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41280"/>
        <c:crosses val="autoZero"/>
        <c:auto val="1"/>
        <c:lblAlgn val="ctr"/>
        <c:lblOffset val="100"/>
        <c:noMultiLvlLbl val="0"/>
      </c:catAx>
      <c:valAx>
        <c:axId val="1606241280"/>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35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(1).xlsx]Sheet18!PivotTable22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sales</a:t>
            </a:r>
          </a:p>
          <a:p>
            <a:pPr>
              <a:defRPr/>
            </a:pPr>
            <a:endParaRPr lang="en-US"/>
          </a:p>
        </c:rich>
      </c:tx>
      <c:layout>
        <c:manualLayout>
          <c:xMode val="edge"/>
          <c:yMode val="edge"/>
          <c:x val="0.3706469500924213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1526588751267459"/>
          <c:y val="0.31684210526315787"/>
          <c:w val="0.75803862779629438"/>
          <c:h val="0.5474955104296173"/>
        </c:manualLayout>
      </c:layout>
      <c:barChart>
        <c:barDir val="col"/>
        <c:grouping val="clustered"/>
        <c:varyColors val="0"/>
        <c:ser>
          <c:idx val="0"/>
          <c:order val="0"/>
          <c:tx>
            <c:strRef>
              <c:f>Sheet18!$B$3</c:f>
              <c:strCache>
                <c:ptCount val="1"/>
                <c:pt idx="0">
                  <c:v>Total</c:v>
                </c:pt>
              </c:strCache>
            </c:strRef>
          </c:tx>
          <c:spPr>
            <a:solidFill>
              <a:schemeClr val="accent1"/>
            </a:solidFill>
            <a:ln>
              <a:noFill/>
            </a:ln>
            <a:effectLst/>
          </c:spPr>
          <c:invertIfNegative val="0"/>
          <c:cat>
            <c:strRef>
              <c:f>Sheet18!$A$4:$A$10</c:f>
              <c:strCache>
                <c:ptCount val="6"/>
                <c:pt idx="0">
                  <c:v>Aman</c:v>
                </c:pt>
                <c:pt idx="1">
                  <c:v>Karan</c:v>
                </c:pt>
                <c:pt idx="2">
                  <c:v>Neha</c:v>
                </c:pt>
                <c:pt idx="3">
                  <c:v>Priya</c:v>
                </c:pt>
                <c:pt idx="4">
                  <c:v>Rohit</c:v>
                </c:pt>
                <c:pt idx="5">
                  <c:v>Sneha</c:v>
                </c:pt>
              </c:strCache>
            </c:strRef>
          </c:cat>
          <c:val>
            <c:numRef>
              <c:f>Sheet18!$B$4:$B$10</c:f>
              <c:numCache>
                <c:formatCode>General</c:formatCode>
                <c:ptCount val="6"/>
                <c:pt idx="0">
                  <c:v>718354.55</c:v>
                </c:pt>
                <c:pt idx="1">
                  <c:v>253371</c:v>
                </c:pt>
                <c:pt idx="2">
                  <c:v>884701.9</c:v>
                </c:pt>
                <c:pt idx="3">
                  <c:v>444097.2</c:v>
                </c:pt>
                <c:pt idx="4">
                  <c:v>420189.7</c:v>
                </c:pt>
                <c:pt idx="5">
                  <c:v>859321.05</c:v>
                </c:pt>
              </c:numCache>
            </c:numRef>
          </c:val>
          <c:extLst>
            <c:ext xmlns:c16="http://schemas.microsoft.com/office/drawing/2014/chart" uri="{C3380CC4-5D6E-409C-BE32-E72D297353CC}">
              <c16:uniqueId val="{00000000-9D17-4793-A72C-4A418A2D8196}"/>
            </c:ext>
          </c:extLst>
        </c:ser>
        <c:dLbls>
          <c:showLegendKey val="0"/>
          <c:showVal val="0"/>
          <c:showCatName val="0"/>
          <c:showSerName val="0"/>
          <c:showPercent val="0"/>
          <c:showBubbleSize val="0"/>
        </c:dLbls>
        <c:gapWidth val="219"/>
        <c:overlap val="-27"/>
        <c:axId val="1650727616"/>
        <c:axId val="1650714304"/>
      </c:barChart>
      <c:catAx>
        <c:axId val="165072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14304"/>
        <c:crosses val="autoZero"/>
        <c:auto val="1"/>
        <c:lblAlgn val="ctr"/>
        <c:lblOffset val="100"/>
        <c:noMultiLvlLbl val="0"/>
      </c:catAx>
      <c:valAx>
        <c:axId val="16507143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27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(1).xlsx]Sheet19!PivotTable23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s>
    <c:plotArea>
      <c:layout>
        <c:manualLayout>
          <c:layoutTarget val="inner"/>
          <c:xMode val="edge"/>
          <c:yMode val="edge"/>
          <c:x val="0.14250344007957122"/>
          <c:y val="0.19093951093951098"/>
          <c:w val="0.48357332696985911"/>
          <c:h val="0.75243243243243241"/>
        </c:manualLayout>
      </c:layout>
      <c:pieChart>
        <c:varyColors val="1"/>
        <c:ser>
          <c:idx val="0"/>
          <c:order val="0"/>
          <c:tx>
            <c:strRef>
              <c:f>Sheet19!$B$3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D6D-43DC-B837-4937A20F3719}"/>
              </c:ext>
            </c:extLst>
          </c:dPt>
          <c:dPt>
            <c:idx val="1"/>
            <c:bubble3D val="0"/>
            <c:spPr>
              <a:solidFill>
                <a:schemeClr val="accent2"/>
              </a:solidFill>
              <a:ln>
                <a:noFill/>
              </a:ln>
              <a:effectLst/>
            </c:spPr>
            <c:extLst>
              <c:ext xmlns:c16="http://schemas.microsoft.com/office/drawing/2014/chart" uri="{C3380CC4-5D6E-409C-BE32-E72D297353CC}">
                <c16:uniqueId val="{00000003-1D6D-43DC-B837-4937A20F3719}"/>
              </c:ext>
            </c:extLst>
          </c:dPt>
          <c:dPt>
            <c:idx val="2"/>
            <c:bubble3D val="0"/>
            <c:spPr>
              <a:solidFill>
                <a:schemeClr val="accent3"/>
              </a:solidFill>
              <a:ln>
                <a:noFill/>
              </a:ln>
              <a:effectLst/>
            </c:spPr>
            <c:extLst>
              <c:ext xmlns:c16="http://schemas.microsoft.com/office/drawing/2014/chart" uri="{C3380CC4-5D6E-409C-BE32-E72D297353CC}">
                <c16:uniqueId val="{00000005-1D6D-43DC-B837-4937A20F3719}"/>
              </c:ext>
            </c:extLst>
          </c:dPt>
          <c:dPt>
            <c:idx val="3"/>
            <c:bubble3D val="0"/>
            <c:spPr>
              <a:solidFill>
                <a:schemeClr val="accent4"/>
              </a:solidFill>
              <a:ln>
                <a:noFill/>
              </a:ln>
              <a:effectLst/>
            </c:spPr>
            <c:extLst>
              <c:ext xmlns:c16="http://schemas.microsoft.com/office/drawing/2014/chart" uri="{C3380CC4-5D6E-409C-BE32-E72D297353CC}">
                <c16:uniqueId val="{00000007-1D6D-43DC-B837-4937A20F3719}"/>
              </c:ext>
            </c:extLst>
          </c:dPt>
          <c:dPt>
            <c:idx val="4"/>
            <c:bubble3D val="0"/>
            <c:spPr>
              <a:solidFill>
                <a:schemeClr val="accent5"/>
              </a:solidFill>
              <a:ln>
                <a:noFill/>
              </a:ln>
              <a:effectLst/>
            </c:spPr>
            <c:extLst>
              <c:ext xmlns:c16="http://schemas.microsoft.com/office/drawing/2014/chart" uri="{C3380CC4-5D6E-409C-BE32-E72D297353CC}">
                <c16:uniqueId val="{00000009-1D6D-43DC-B837-4937A20F3719}"/>
              </c:ext>
            </c:extLst>
          </c:dPt>
          <c:dPt>
            <c:idx val="5"/>
            <c:bubble3D val="0"/>
            <c:spPr>
              <a:solidFill>
                <a:schemeClr val="accent6"/>
              </a:solidFill>
              <a:ln>
                <a:noFill/>
              </a:ln>
              <a:effectLst/>
            </c:spPr>
            <c:extLst>
              <c:ext xmlns:c16="http://schemas.microsoft.com/office/drawing/2014/chart" uri="{C3380CC4-5D6E-409C-BE32-E72D297353CC}">
                <c16:uniqueId val="{0000000B-1D6D-43DC-B837-4937A20F371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D6D-43DC-B837-4937A20F371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D6D-43DC-B837-4937A20F371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D6D-43DC-B837-4937A20F3719}"/>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D6D-43DC-B837-4937A20F3719}"/>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1D6D-43DC-B837-4937A20F3719}"/>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1D6D-43DC-B837-4937A20F3719}"/>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1D6D-43DC-B837-4937A20F3719}"/>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1D6D-43DC-B837-4937A20F3719}"/>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1D6D-43DC-B837-4937A20F3719}"/>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1D6D-43DC-B837-4937A20F3719}"/>
              </c:ext>
            </c:extLst>
          </c:dPt>
          <c:cat>
            <c:strRef>
              <c:f>Sheet19!$A$4:$A$20</c:f>
              <c:strCache>
                <c:ptCount val="16"/>
                <c:pt idx="0">
                  <c:v>Chair</c:v>
                </c:pt>
                <c:pt idx="1">
                  <c:v>Cupboard</c:v>
                </c:pt>
                <c:pt idx="2">
                  <c:v>Headphones</c:v>
                </c:pt>
                <c:pt idx="3">
                  <c:v>Jacket</c:v>
                </c:pt>
                <c:pt idx="4">
                  <c:v>Jeans</c:v>
                </c:pt>
                <c:pt idx="5">
                  <c:v>Keyboard</c:v>
                </c:pt>
                <c:pt idx="6">
                  <c:v>Laptop</c:v>
                </c:pt>
                <c:pt idx="7">
                  <c:v>Milk</c:v>
                </c:pt>
                <c:pt idx="8">
                  <c:v>Mobile</c:v>
                </c:pt>
                <c:pt idx="9">
                  <c:v>Oil</c:v>
                </c:pt>
                <c:pt idx="10">
                  <c:v>Rice</c:v>
                </c:pt>
                <c:pt idx="11">
                  <c:v>Shirt</c:v>
                </c:pt>
                <c:pt idx="12">
                  <c:v>Shoes</c:v>
                </c:pt>
                <c:pt idx="13">
                  <c:v>Sofa</c:v>
                </c:pt>
                <c:pt idx="14">
                  <c:v>Sugar</c:v>
                </c:pt>
                <c:pt idx="15">
                  <c:v>Table</c:v>
                </c:pt>
              </c:strCache>
            </c:strRef>
          </c:cat>
          <c:val>
            <c:numRef>
              <c:f>Sheet19!$B$4:$B$20</c:f>
              <c:numCache>
                <c:formatCode>General</c:formatCode>
                <c:ptCount val="16"/>
                <c:pt idx="0">
                  <c:v>253330.3</c:v>
                </c:pt>
                <c:pt idx="1">
                  <c:v>200433.05</c:v>
                </c:pt>
                <c:pt idx="2">
                  <c:v>153513.65</c:v>
                </c:pt>
                <c:pt idx="3">
                  <c:v>93478.1</c:v>
                </c:pt>
                <c:pt idx="4">
                  <c:v>463313.5</c:v>
                </c:pt>
                <c:pt idx="5">
                  <c:v>148983.79999999999</c:v>
                </c:pt>
                <c:pt idx="6">
                  <c:v>220834.1</c:v>
                </c:pt>
                <c:pt idx="7">
                  <c:v>238863.2</c:v>
                </c:pt>
                <c:pt idx="8">
                  <c:v>265204.25</c:v>
                </c:pt>
                <c:pt idx="9">
                  <c:v>228057.55</c:v>
                </c:pt>
                <c:pt idx="10">
                  <c:v>270857.15000000002</c:v>
                </c:pt>
                <c:pt idx="11">
                  <c:v>170600.45</c:v>
                </c:pt>
                <c:pt idx="12">
                  <c:v>256361.60000000001</c:v>
                </c:pt>
                <c:pt idx="13">
                  <c:v>277356.75</c:v>
                </c:pt>
                <c:pt idx="14">
                  <c:v>294859.8</c:v>
                </c:pt>
                <c:pt idx="15">
                  <c:v>43988.15</c:v>
                </c:pt>
              </c:numCache>
            </c:numRef>
          </c:val>
          <c:extLst>
            <c:ext xmlns:c16="http://schemas.microsoft.com/office/drawing/2014/chart" uri="{C3380CC4-5D6E-409C-BE32-E72D297353CC}">
              <c16:uniqueId val="{00000020-1D6D-43DC-B837-4937A20F371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(1).xlsx]Sheet20!PivotTable24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Sheet20!$B$3</c:f>
              <c:strCache>
                <c:ptCount val="1"/>
                <c:pt idx="0">
                  <c:v>Total</c:v>
                </c:pt>
              </c:strCache>
            </c:strRef>
          </c:tx>
          <c:spPr>
            <a:solidFill>
              <a:schemeClr val="accent1"/>
            </a:solidFill>
            <a:ln>
              <a:noFill/>
            </a:ln>
            <a:effectLst/>
          </c:spPr>
          <c:invertIfNegative val="0"/>
          <c:cat>
            <c:strRef>
              <c:f>Sheet20!$A$4:$A$7</c:f>
              <c:strCache>
                <c:ptCount val="4"/>
                <c:pt idx="0">
                  <c:v>East</c:v>
                </c:pt>
                <c:pt idx="1">
                  <c:v>North</c:v>
                </c:pt>
                <c:pt idx="2">
                  <c:v>South</c:v>
                </c:pt>
                <c:pt idx="3">
                  <c:v>West</c:v>
                </c:pt>
              </c:strCache>
            </c:strRef>
          </c:cat>
          <c:val>
            <c:numRef>
              <c:f>Sheet20!$B$4:$B$7</c:f>
              <c:numCache>
                <c:formatCode>General</c:formatCode>
                <c:ptCount val="4"/>
                <c:pt idx="0">
                  <c:v>1155565.05</c:v>
                </c:pt>
                <c:pt idx="1">
                  <c:v>728656.4</c:v>
                </c:pt>
                <c:pt idx="2">
                  <c:v>596089.30000000005</c:v>
                </c:pt>
                <c:pt idx="3">
                  <c:v>1099724.6499999999</c:v>
                </c:pt>
              </c:numCache>
            </c:numRef>
          </c:val>
          <c:extLst>
            <c:ext xmlns:c16="http://schemas.microsoft.com/office/drawing/2014/chart" uri="{C3380CC4-5D6E-409C-BE32-E72D297353CC}">
              <c16:uniqueId val="{00000000-75B2-4BAD-AD09-E34CA99E58BF}"/>
            </c:ext>
          </c:extLst>
        </c:ser>
        <c:dLbls>
          <c:showLegendKey val="0"/>
          <c:showVal val="0"/>
          <c:showCatName val="0"/>
          <c:showSerName val="0"/>
          <c:showPercent val="0"/>
          <c:showBubbleSize val="0"/>
        </c:dLbls>
        <c:gapWidth val="219"/>
        <c:overlap val="-27"/>
        <c:axId val="1752588256"/>
        <c:axId val="1752584512"/>
      </c:barChart>
      <c:catAx>
        <c:axId val="17525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84512"/>
        <c:crosses val="autoZero"/>
        <c:auto val="1"/>
        <c:lblAlgn val="ctr"/>
        <c:lblOffset val="100"/>
        <c:noMultiLvlLbl val="0"/>
      </c:catAx>
      <c:valAx>
        <c:axId val="17525845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88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[excel_portfolio_sales_dataset (1).xlsx]Sheet17!PivotTable21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Sheet17!$B$3</c:f>
              <c:strCache>
                <c:ptCount val="1"/>
                <c:pt idx="0">
                  <c:v>Total</c:v>
                </c:pt>
              </c:strCache>
            </c:strRef>
          </c:tx>
          <c:spPr>
            <a:ln w="28575" cap="rnd">
              <a:solidFill>
                <a:schemeClr val="accent1"/>
              </a:solidFill>
              <a:round/>
            </a:ln>
            <a:effectLst/>
          </c:spPr>
          <c:marker>
            <c:symbol val="none"/>
          </c:marker>
          <c:cat>
            <c:strRef>
              <c:f>Sheet17!$A$4:$A$7</c:f>
              <c:strCache>
                <c:ptCount val="4"/>
                <c:pt idx="0">
                  <c:v>Feb</c:v>
                </c:pt>
                <c:pt idx="1">
                  <c:v>Apr</c:v>
                </c:pt>
                <c:pt idx="2">
                  <c:v>May</c:v>
                </c:pt>
                <c:pt idx="3">
                  <c:v>Jun</c:v>
                </c:pt>
              </c:strCache>
            </c:strRef>
          </c:cat>
          <c:val>
            <c:numRef>
              <c:f>Sheet17!$B$4:$B$7</c:f>
              <c:numCache>
                <c:formatCode>General</c:formatCode>
                <c:ptCount val="4"/>
                <c:pt idx="0">
                  <c:v>549190.1</c:v>
                </c:pt>
                <c:pt idx="1">
                  <c:v>1005171.3</c:v>
                </c:pt>
                <c:pt idx="2">
                  <c:v>919885.35</c:v>
                </c:pt>
                <c:pt idx="3">
                  <c:v>1105788.6499999999</c:v>
                </c:pt>
              </c:numCache>
            </c:numRef>
          </c:val>
          <c:smooth val="0"/>
          <c:extLst>
            <c:ext xmlns:c16="http://schemas.microsoft.com/office/drawing/2014/chart" uri="{C3380CC4-5D6E-409C-BE32-E72D297353CC}">
              <c16:uniqueId val="{00000000-946E-400C-8F9E-4955F30EEE6C}"/>
            </c:ext>
          </c:extLst>
        </c:ser>
        <c:dLbls>
          <c:showLegendKey val="0"/>
          <c:showVal val="0"/>
          <c:showCatName val="0"/>
          <c:showSerName val="0"/>
          <c:showPercent val="0"/>
          <c:showBubbleSize val="0"/>
        </c:dLbls>
        <c:smooth val="0"/>
        <c:axId val="1752584928"/>
        <c:axId val="1752593664"/>
      </c:lineChart>
      <c:catAx>
        <c:axId val="175258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93664"/>
        <c:crosses val="autoZero"/>
        <c:auto val="1"/>
        <c:lblAlgn val="ctr"/>
        <c:lblOffset val="100"/>
        <c:noMultiLvlLbl val="0"/>
      </c:catAx>
      <c:valAx>
        <c:axId val="1752593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584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500062</xdr:colOff>
      <xdr:row>1</xdr:row>
      <xdr:rowOff>0</xdr:rowOff>
    </xdr:from>
    <xdr:to>
      <xdr:col>10</xdr:col>
      <xdr:colOff>195262</xdr:colOff>
      <xdr:row>15</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442912</xdr:colOff>
      <xdr:row>4</xdr:row>
      <xdr:rowOff>161925</xdr:rowOff>
    </xdr:from>
    <xdr:to>
      <xdr:col>11</xdr:col>
      <xdr:colOff>138112</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457200</xdr:colOff>
      <xdr:row>4</xdr:row>
      <xdr:rowOff>161925</xdr:rowOff>
    </xdr:from>
    <xdr:to>
      <xdr:col>14</xdr:col>
      <xdr:colOff>152400</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595312</xdr:colOff>
      <xdr:row>0</xdr:row>
      <xdr:rowOff>133350</xdr:rowOff>
    </xdr:from>
    <xdr:to>
      <xdr:col>10</xdr:col>
      <xdr:colOff>290512</xdr:colOff>
      <xdr:row>15</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433387</xdr:colOff>
      <xdr:row>1</xdr:row>
      <xdr:rowOff>57150</xdr:rowOff>
    </xdr:from>
    <xdr:to>
      <xdr:col>10</xdr:col>
      <xdr:colOff>157162</xdr:colOff>
      <xdr:row>15</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438150</xdr:colOff>
      <xdr:row>1</xdr:row>
      <xdr:rowOff>180975</xdr:rowOff>
    </xdr:from>
    <xdr:to>
      <xdr:col>11</xdr:col>
      <xdr:colOff>104775</xdr:colOff>
      <xdr:row>16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442911</xdr:colOff>
      <xdr:row>4</xdr:row>
      <xdr:rowOff>161924</xdr:rowOff>
    </xdr:from>
    <xdr:to>
      <xdr:col>11</xdr:col>
      <xdr:colOff>295274</xdr:colOff>
      <xdr:row>20</xdr:row>
      <xdr:rowOff>133349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166687</xdr:colOff>
      <xdr:row>1</xdr:row>
      <xdr:rowOff>9525</xdr:rowOff>
    </xdr:from>
    <xdr:to>
      <xdr:col>9</xdr:col>
      <xdr:colOff>471487</xdr:colOff>
      <xdr:row>15</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228600</xdr:colOff>
      <xdr:row>2</xdr:row>
      <xdr:rowOff>123825</xdr:rowOff>
    </xdr:from>
    <xdr:to>
      <xdr:col>5</xdr:col>
      <xdr:colOff>476250</xdr:colOff>
      <xdr:row>6</xdr:row>
      <xdr:rowOff>57150</xdr:rowOff>
    </xdr:to>
    <xdr:sp macro="" textlink="">
      <xdr:nvSpPr>
        <xdr:cNvPr id="2" name="Rounded Rectangle 1"/>
        <xdr:cNvSpPr/>
      </xdr:nvSpPr>
      <xdr:spPr>
        <a:xfrm>
          <a:off x="1447800" y="504825"/>
          <a:ext cx="2076450"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lt1"/>
              </a:solidFill>
              <a:effectLst/>
              <a:latin typeface="+mn-lt"/>
              <a:ea typeface="+mn-ea"/>
              <a:cs typeface="+mn-cs"/>
            </a:rPr>
            <a:t>TOTAL REVENUE </a:t>
          </a:r>
          <a:r>
            <a:rPr lang="en-US" sz="1600" b="0" i="0" u="none" strike="noStrike">
              <a:solidFill>
                <a:schemeClr val="lt1"/>
              </a:solidFill>
              <a:effectLst/>
              <a:latin typeface="+mn-lt"/>
              <a:ea typeface="+mn-ea"/>
              <a:cs typeface="+mn-cs"/>
            </a:rPr>
            <a:t>4963679</a:t>
          </a:r>
          <a:r>
            <a:rPr lang="en-US" sz="1600" b="0"/>
            <a:t> </a:t>
          </a:r>
          <a:endParaRPr lang="en-US" sz="1600" b="0"/>
        </a:p>
      </xdr:txBody>
    </xdr:sp>
    <xdr:clientData/>
  </xdr:twoCellAnchor>
  <xdr:twoCellAnchor>
    <xdr:from>
      <xdr:col>7</xdr:col>
      <xdr:colOff>19050</xdr:colOff>
      <xdr:row>2</xdr:row>
      <xdr:rowOff>142875</xdr:rowOff>
    </xdr:from>
    <xdr:to>
      <xdr:col>10</xdr:col>
      <xdr:colOff>400050</xdr:colOff>
      <xdr:row>6</xdr:row>
      <xdr:rowOff>76200</xdr:rowOff>
    </xdr:to>
    <xdr:sp macro="" textlink="">
      <xdr:nvSpPr>
        <xdr:cNvPr id="3" name="Rounded Rectangle 2"/>
        <xdr:cNvSpPr/>
      </xdr:nvSpPr>
      <xdr:spPr>
        <a:xfrm>
          <a:off x="4286250" y="523875"/>
          <a:ext cx="2209800"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 SALES </a:t>
          </a:r>
        </a:p>
        <a:p>
          <a:pPr marL="0" marR="0" indent="0" algn="ct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lt1"/>
              </a:solidFill>
              <a:effectLst/>
              <a:latin typeface="+mn-lt"/>
              <a:ea typeface="+mn-ea"/>
              <a:cs typeface="+mn-cs"/>
            </a:rPr>
            <a:t>24818</a:t>
          </a:r>
          <a:r>
            <a:rPr lang="en-US" sz="1400" b="1"/>
            <a:t> </a:t>
          </a:r>
          <a:endParaRPr lang="en-US" sz="1400" b="1"/>
        </a:p>
      </xdr:txBody>
    </xdr:sp>
    <xdr:clientData/>
  </xdr:twoCellAnchor>
  <xdr:twoCellAnchor>
    <xdr:from>
      <xdr:col>11</xdr:col>
      <xdr:colOff>182337</xdr:colOff>
      <xdr:row>3</xdr:row>
      <xdr:rowOff>0</xdr:rowOff>
    </xdr:from>
    <xdr:to>
      <xdr:col>13</xdr:col>
      <xdr:colOff>585108</xdr:colOff>
      <xdr:row>6</xdr:row>
      <xdr:rowOff>9525</xdr:rowOff>
    </xdr:to>
    <xdr:sp macro="" textlink="">
      <xdr:nvSpPr>
        <xdr:cNvPr id="4" name="Rounded Rectangle 3"/>
        <xdr:cNvSpPr/>
      </xdr:nvSpPr>
      <xdr:spPr>
        <a:xfrm>
          <a:off x="6917873" y="571500"/>
          <a:ext cx="1627414"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 </a:t>
          </a:r>
        </a:p>
      </xdr:txBody>
    </xdr:sp>
    <xdr:clientData/>
  </xdr:twoCellAnchor>
  <xdr:twoCellAnchor>
    <xdr:from>
      <xdr:col>7</xdr:col>
      <xdr:colOff>180976</xdr:colOff>
      <xdr:row>0</xdr:row>
      <xdr:rowOff>47626</xdr:rowOff>
    </xdr:from>
    <xdr:to>
      <xdr:col>12</xdr:col>
      <xdr:colOff>438150</xdr:colOff>
      <xdr:row>2</xdr:row>
      <xdr:rowOff>85726</xdr:rowOff>
    </xdr:to>
    <xdr:sp macro="" textlink="">
      <xdr:nvSpPr>
        <xdr:cNvPr id="5" name="Rounded Rectangle 4"/>
        <xdr:cNvSpPr/>
      </xdr:nvSpPr>
      <xdr:spPr>
        <a:xfrm>
          <a:off x="4448176" y="47626"/>
          <a:ext cx="3305174"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t>                    SALES DASHBOARD </a:t>
          </a:r>
        </a:p>
      </xdr:txBody>
    </xdr:sp>
    <xdr:clientData/>
  </xdr:twoCellAnchor>
  <xdr:twoCellAnchor>
    <xdr:from>
      <xdr:col>0</xdr:col>
      <xdr:colOff>171450</xdr:colOff>
      <xdr:row>6</xdr:row>
      <xdr:rowOff>180975</xdr:rowOff>
    </xdr:from>
    <xdr:to>
      <xdr:col>5</xdr:col>
      <xdr:colOff>514349</xdr:colOff>
      <xdr:row>17</xdr:row>
      <xdr:rowOff>180975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476250</xdr:colOff>
      <xdr:row>7</xdr:row>
      <xdr:rowOff>19050</xdr:rowOff>
    </xdr:from>
    <xdr:to>
      <xdr:col>19</xdr:col>
      <xdr:colOff>375633</xdr:colOff>
      <xdr:row>18</xdr:row>
      <xdr:rowOff>28575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xdr:colOff>
      <xdr:row>18</xdr:row>
      <xdr:rowOff>114301</xdr:rowOff>
    </xdr:from>
    <xdr:to>
      <xdr:col>12</xdr:col>
      <xdr:colOff>323850</xdr:colOff>
      <xdr:row>31</xdr:row>
      <xdr:rowOff>114301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18</xdr:row>
      <xdr:rowOff>85726</xdr:rowOff>
    </xdr:from>
    <xdr:to>
      <xdr:col>5</xdr:col>
      <xdr:colOff>514350</xdr:colOff>
      <xdr:row>31</xdr:row>
      <xdr:rowOff>142876</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600075</xdr:colOff>
      <xdr:row>6</xdr:row>
      <xdr:rowOff>180975</xdr:rowOff>
    </xdr:from>
    <xdr:to>
      <xdr:col>12</xdr:col>
      <xdr:colOff>333375</xdr:colOff>
      <xdr:row>18</xdr:row>
      <xdr:rowOff>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503839</xdr:colOff>
      <xdr:row>19</xdr:row>
      <xdr:rowOff>10205</xdr:rowOff>
    </xdr:from>
    <xdr:to>
      <xdr:col>19</xdr:col>
      <xdr:colOff>446688</xdr:colOff>
      <xdr:row>26</xdr:row>
      <xdr:rowOff>164224</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66691" y="3578726"/>
              <a:ext cx="1150243" cy="146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290513</xdr:colOff>
      <xdr:row>18</xdr:row>
      <xdr:rowOff>183357</xdr:rowOff>
    </xdr:from>
    <xdr:to>
      <xdr:col>17</xdr:col>
      <xdr:colOff>416719</xdr:colOff>
      <xdr:row>29</xdr:row>
      <xdr:rowOff>120740</xdr:rowOff>
    </xdr:to>
    <mc:AlternateContent xmlns:mc="http://schemas.openxmlformats.org/markup-compatibility/2006">
      <mc:Choice xmlns:a14="http://schemas.microsoft.com/office/drawing/2010/main" Requires="a14">
        <xdr:graphicFrame macro="">
          <xdr:nvGraphicFramePr>
            <xdr:cNvPr id="8" name="Order_Date (Month)"/>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9345971" y="3564061"/>
              <a:ext cx="1333600" cy="2003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494634</xdr:colOff>
      <xdr:row>27</xdr:row>
      <xdr:rowOff>26831</xdr:rowOff>
    </xdr:from>
    <xdr:to>
      <xdr:col>19</xdr:col>
      <xdr:colOff>469543</xdr:colOff>
      <xdr:row>34</xdr:row>
      <xdr:rowOff>140363</xdr:rowOff>
    </xdr:to>
    <mc:AlternateContent xmlns:mc="http://schemas.openxmlformats.org/markup-compatibility/2006">
      <mc:Choice xmlns:a14="http://schemas.microsoft.com/office/drawing/2010/main"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57486" y="5097887"/>
              <a:ext cx="1182303" cy="1428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523875</xdr:colOff>
      <xdr:row>19</xdr:row>
      <xdr:rowOff>0</xdr:rowOff>
    </xdr:from>
    <xdr:to>
      <xdr:col>15</xdr:col>
      <xdr:colOff>200025</xdr:colOff>
      <xdr:row>32</xdr:row>
      <xdr:rowOff>47625</xdr:rowOff>
    </xdr:to>
    <mc:AlternateContent xmlns:mc="http://schemas.openxmlformats.org/markup-compatibility/2006">
      <mc:Choice xmlns:a14="http://schemas.microsoft.com/office/drawing/2010/main" Requires="a14">
        <xdr:graphicFrame macro="">
          <xdr:nvGraphicFramePr>
            <xdr:cNvPr id="1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768241" y="3568521"/>
              <a:ext cx="1487242" cy="2489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204107</xdr:colOff>
      <xdr:row>3</xdr:row>
      <xdr:rowOff>81643</xdr:rowOff>
    </xdr:from>
    <xdr:ext cx="1631857" cy="311496"/>
    <xdr:sp macro="" textlink="">
      <xdr:nvSpPr>
        <xdr:cNvPr id="15" name="TextBox 14"/>
        <xdr:cNvSpPr txBox="1"/>
      </xdr:nvSpPr>
      <xdr:spPr>
        <a:xfrm>
          <a:off x="6939643" y="653143"/>
          <a:ext cx="163185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TOTAL ORDERS</a:t>
          </a:r>
          <a:r>
            <a:rPr lang="en-US" sz="1400" b="1" i="0" u="none" strike="noStrike" baseline="0">
              <a:solidFill>
                <a:schemeClr val="bg1"/>
              </a:solidFill>
              <a:effectLst/>
              <a:latin typeface="+mn-lt"/>
              <a:ea typeface="+mn-ea"/>
              <a:cs typeface="+mn-cs"/>
            </a:rPr>
            <a:t> 200</a:t>
          </a:r>
          <a:endParaRPr lang="en-US" sz="14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veen Yadav" refreshedDate="46140.712826967596" createdVersion="6" refreshedVersion="6" minRefreshableVersion="3" recordCount="200">
  <cacheSource type="worksheet">
    <worksheetSource ref="A1:J201" sheet="excel_portfolio_sales_dataset ("/>
  </cacheSource>
  <cacheFields count="11">
    <cacheField name="Order_ID" numFmtId="2">
      <sharedItems count="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haredItems>
    </cacheField>
    <cacheField name="Order_Date" numFmtId="164">
      <sharedItems containsSemiMixedTypes="0" containsNonDate="0" containsDate="1" containsString="0" minDate="2025-01-01T00:00:00" maxDate="2025-06-30T00:00:00" count="123">
        <d v="2025-02-05T00:00:00"/>
        <d v="2025-02-25T00:00:00"/>
        <d v="2025-04-25T00:00:00"/>
        <d v="2025-06-04T00:00:00"/>
        <d v="2025-06-10T00:00:00"/>
        <d v="2025-01-21T00:00:00"/>
        <d v="2025-04-05T00:00:00"/>
        <d v="2025-02-11T00:00:00"/>
        <d v="2025-01-09T00:00:00"/>
        <d v="2025-02-24T00:00:00"/>
        <d v="2025-05-24T00:00:00"/>
        <d v="2025-05-11T00:00:00"/>
        <d v="2025-06-02T00:00:00"/>
        <d v="2025-06-24T00:00:00"/>
        <d v="2025-02-10T00:00:00"/>
        <d v="2025-06-13T00:00:00"/>
        <d v="2025-06-03T00:00:00"/>
        <d v="2025-01-15T00:00:00"/>
        <d v="2025-02-02T00:00:00"/>
        <d v="2025-05-19T00:00:00"/>
        <d v="2025-01-31T00:00:00"/>
        <d v="2025-05-31T00:00:00"/>
        <d v="2025-03-26T00:00:00"/>
        <d v="2025-05-27T00:00:00"/>
        <d v="2025-06-18T00:00:00"/>
        <d v="2025-01-16T00:00:00"/>
        <d v="2025-05-18T00:00:00"/>
        <d v="2025-01-20T00:00:00"/>
        <d v="2025-03-02T00:00:00"/>
        <d v="2025-02-12T00:00:00"/>
        <d v="2025-06-28T00:00:00"/>
        <d v="2025-03-22T00:00:00"/>
        <d v="2025-02-17T00:00:00"/>
        <d v="2025-05-29T00:00:00"/>
        <d v="2025-03-08T00:00:00"/>
        <d v="2025-06-21T00:00:00"/>
        <d v="2025-01-19T00:00:00"/>
        <d v="2025-06-20T00:00:00"/>
        <d v="2025-05-22T00:00:00"/>
        <d v="2025-05-10T00:00:00"/>
        <d v="2025-01-01T00:00:00"/>
        <d v="2025-05-30T00:00:00"/>
        <d v="2025-04-02T00:00:00"/>
        <d v="2025-06-08T00:00:00"/>
        <d v="2025-03-27T00:00:00"/>
        <d v="2025-01-10T00:00:00"/>
        <d v="2025-02-27T00:00:00"/>
        <d v="2025-03-13T00:00:00"/>
        <d v="2025-02-15T00:00:00"/>
        <d v="2025-06-05T00:00:00"/>
        <d v="2025-05-14T00:00:00"/>
        <d v="2025-03-18T00:00:00"/>
        <d v="2025-02-19T00:00:00"/>
        <d v="2025-04-14T00:00:00"/>
        <d v="2025-04-30T00:00:00"/>
        <d v="2025-05-12T00:00:00"/>
        <d v="2025-01-07T00:00:00"/>
        <d v="2025-04-19T00:00:00"/>
        <d v="2025-04-27T00:00:00"/>
        <d v="2025-05-21T00:00:00"/>
        <d v="2025-04-09T00:00:00"/>
        <d v="2025-05-28T00:00:00"/>
        <d v="2025-04-10T00:00:00"/>
        <d v="2025-04-11T00:00:00"/>
        <d v="2025-03-31T00:00:00"/>
        <d v="2025-01-06T00:00:00"/>
        <d v="2025-01-27T00:00:00"/>
        <d v="2025-06-19T00:00:00"/>
        <d v="2025-04-21T00:00:00"/>
        <d v="2025-06-07T00:00:00"/>
        <d v="2025-03-25T00:00:00"/>
        <d v="2025-05-06T00:00:00"/>
        <d v="2025-03-17T00:00:00"/>
        <d v="2025-03-06T00:00:00"/>
        <d v="2025-01-26T00:00:00"/>
        <d v="2025-05-17T00:00:00"/>
        <d v="2025-03-29T00:00:00"/>
        <d v="2025-01-22T00:00:00"/>
        <d v="2025-04-24T00:00:00"/>
        <d v="2025-02-23T00:00:00"/>
        <d v="2025-03-15T00:00:00"/>
        <d v="2025-06-29T00:00:00"/>
        <d v="2025-03-24T00:00:00"/>
        <d v="2025-06-12T00:00:00"/>
        <d v="2025-06-09T00:00:00"/>
        <d v="2025-03-21T00:00:00"/>
        <d v="2025-03-04T00:00:00"/>
        <d v="2025-01-18T00:00:00"/>
        <d v="2025-03-23T00:00:00"/>
        <d v="2025-02-06T00:00:00"/>
        <d v="2025-01-24T00:00:00"/>
        <d v="2025-01-12T00:00:00"/>
        <d v="2025-03-07T00:00:00"/>
        <d v="2025-06-23T00:00:00"/>
        <d v="2025-02-14T00:00:00"/>
        <d v="2025-05-23T00:00:00"/>
        <d v="2025-05-01T00:00:00"/>
        <d v="2025-06-16T00:00:00"/>
        <d v="2025-01-30T00:00:00"/>
        <d v="2025-06-25T00:00:00"/>
        <d v="2025-02-01T00:00:00"/>
        <d v="2025-01-29T00:00:00"/>
        <d v="2025-05-02T00:00:00"/>
        <d v="2025-01-17T00:00:00"/>
        <d v="2025-04-16T00:00:00"/>
        <d v="2025-04-01T00:00:00"/>
        <d v="2025-01-02T00:00:00"/>
        <d v="2025-05-16T00:00:00"/>
        <d v="2025-06-22T00:00:00"/>
        <d v="2025-03-11T00:00:00"/>
        <d v="2025-05-09T00:00:00"/>
        <d v="2025-01-28T00:00:00"/>
        <d v="2025-02-26T00:00:00"/>
        <d v="2025-02-20T00:00:00"/>
        <d v="2025-05-25T00:00:00"/>
        <d v="2025-04-26T00:00:00"/>
        <d v="2025-05-15T00:00:00"/>
        <d v="2025-03-14T00:00:00"/>
        <d v="2025-05-05T00:00:00"/>
        <d v="2025-04-06T00:00:00"/>
        <d v="2025-04-17T00:00:00"/>
        <d v="2025-01-05T00:00:00"/>
        <d v="2025-03-19T00:00:00"/>
      </sharedItems>
      <fieldGroup par="10" base="1">
        <rangePr groupBy="days" startDate="2025-01-01T00:00:00" endDate="2025-06-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5"/>
        </groupItems>
      </fieldGroup>
    </cacheField>
    <cacheField name="Region" numFmtId="49">
      <sharedItems count="4">
        <s v="North"/>
        <s v="South"/>
        <s v="East"/>
        <s v="West"/>
      </sharedItems>
    </cacheField>
    <cacheField name="Salesperson" numFmtId="0">
      <sharedItems/>
    </cacheField>
    <cacheField name="Category" numFmtId="0">
      <sharedItems count="4">
        <s v="Electronics"/>
        <s v="Furniture"/>
        <s v="Groceries"/>
        <s v="Clothing"/>
      </sharedItems>
    </cacheField>
    <cacheField name="Product" numFmtId="0">
      <sharedItems count="16">
        <s v="Laptop"/>
        <s v="Keyboard"/>
        <s v="Mobile"/>
        <s v="Cupboard"/>
        <s v="Rice"/>
        <s v="Chair"/>
        <s v="Sugar"/>
        <s v="Shirt"/>
        <s v="Jeans"/>
        <s v="Oil"/>
        <s v="Milk"/>
        <s v="Jacket"/>
        <s v="Sofa"/>
        <s v="Shoes"/>
        <s v="Headphones"/>
        <s v="Table"/>
      </sharedItems>
    </cacheField>
    <cacheField name="Quantity" numFmtId="0">
      <sharedItems containsSemiMixedTypes="0" containsString="0" containsNumber="1" containsInteger="1" minValue="1" maxValue="20"/>
    </cacheField>
    <cacheField name="Unit_Price" numFmtId="0">
      <sharedItems containsSemiMixedTypes="0" containsString="0" containsNumber="1" containsInteger="1" minValue="243" maxValue="4973"/>
    </cacheField>
    <cacheField name="Discount_%" numFmtId="0">
      <sharedItems containsSemiMixedTypes="0" containsString="0" containsNumber="1" containsInteger="1" minValue="0" maxValue="15"/>
    </cacheField>
    <cacheField name="Total_Sales" numFmtId="0">
      <sharedItems containsSemiMixedTypes="0" containsString="0" containsNumber="1" minValue="888" maxValue="90660"/>
    </cacheField>
    <cacheField name="Months" numFmtId="0" databaseField="0">
      <fieldGroup base="1">
        <rangePr groupBy="months" startDate="2025-01-01T00:00:00" endDate="2025-06-30T00:00:00"/>
        <groupItems count="14">
          <s v="&lt;1/1/2025"/>
          <s v="Jan"/>
          <s v="Feb"/>
          <s v="Mar"/>
          <s v="Apr"/>
          <s v="May"/>
          <s v="Jun"/>
          <s v="Jul"/>
          <s v="Aug"/>
          <s v="Sep"/>
          <s v="Oct"/>
          <s v="Nov"/>
          <s v="Dec"/>
          <s v="&gt;6/30/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Praveen Yadav" refreshedDate="46141.698597453702" backgroundQuery="1" createdVersion="6" refreshedVersion="6" minRefreshableVersion="3" recordCount="0" supportSubquery="1" supportAdvancedDrill="1">
  <cacheSource type="external" connectionId="1"/>
  <cacheFields count="3">
    <cacheField name="[Range].[Category].[Category]" caption="Category" numFmtId="0" level="1">
      <sharedItems count="4">
        <s v="Clothing"/>
        <s v="Electronics"/>
        <s v="Furniture"/>
        <s v="Groceries"/>
      </sharedItems>
    </cacheField>
    <cacheField name="[Measures].[Sum of Total_Sales]" caption="Sum of Total_Sales" numFmtId="0" hierarchy="14" level="32767"/>
    <cacheField name="[Range].[Order_Date (Month)].[Order_Date (Month)]" caption="Order_Date (Month)" numFmtId="0" hierarchy="3" level="1">
      <sharedItems containsSemiMixedTypes="0" containsNonDate="0" containsString="0"/>
    </cacheField>
  </cacheFields>
  <cacheHierarchies count="15">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Discount_%]" caption="Discount_%" attribute="1" defaultMemberUniqueName="[Range].[Discount_%].[All]" allUniqueName="[Range].[Discount_%].[All]" dimensionUniqueName="[Range]" displayFolder="" count="2" memberValueDatatype="20" unbalanced="0"/>
    <cacheHierarchy uniqueName="[Range].[Order_Date]" caption="Order_Date" attribute="1" time="1" defaultMemberUniqueName="[Range].[Order_Date].[All]" allUniqueName="[Range].[Order_Date].[All]" dimensionUniqueName="[Range]" displayFolder="" count="2" memberValueDatatype="7"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2"/>
      </fieldsUsage>
    </cacheHierarchy>
    <cacheHierarchy uniqueName="[Range].[Order_ID]" caption="Order_ID" attribute="1" defaultMemberUniqueName="[Range].[Order_ID].[All]" allUniqueName="[Range].[Order_ID].[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Total_Sales]" caption="Total_Sales" attribute="1" defaultMemberUniqueName="[Range].[Total_Sales].[All]" allUniqueName="[Range].[Total_Sales].[All]" dimensionUniqueName="[Range]" displayFolder="" count="2" memberValueDatatype="5" unbalanced="0"/>
    <cacheHierarchy uniqueName="[Range].[Unit_Price]" caption="Unit_Price" attribute="1" defaultMemberUniqueName="[Range].[Unit_Price].[All]" allUniqueName="[Range].[Unit_Price].[All]" dimensionUniqueName="[Range]" displayFolder="" count="2" memberValueDatatype="2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raveen Yadav" refreshedDate="46141.698598379633" backgroundQuery="1" createdVersion="6" refreshedVersion="6" minRefreshableVersion="3" recordCount="0" supportSubquery="1" supportAdvancedDrill="1">
  <cacheSource type="external" connectionId="1"/>
  <cacheFields count="3">
    <cacheField name="[Measures].[Sum of Total_Sales]" caption="Sum of Total_Sales" numFmtId="0" hierarchy="14" level="32767"/>
    <cacheField name="[Range].[Order_Date].[Order_Date]" caption="Order_Date" numFmtId="0" hierarchy="2" level="1">
      <sharedItems containsSemiMixedTypes="0" containsNonDate="0" containsDate="1" containsString="0" count="123">
        <d v="2025-01-01T00:00:00"/>
        <d v="2025-01-02T00:00:00"/>
        <d v="2025-01-05T00:00:00"/>
        <d v="2025-01-06T00:00:00"/>
        <d v="2025-01-07T00:00:00"/>
        <d v="2025-01-09T00:00:00"/>
        <d v="2025-01-10T00:00:00"/>
        <d v="2025-01-12T00:00:00"/>
        <d v="2025-01-15T00:00:00"/>
        <d v="2025-01-16T00:00:00"/>
        <d v="2025-01-17T00:00:00"/>
        <d v="2025-01-18T00:00:00"/>
        <d v="2025-01-19T00:00:00"/>
        <d v="2025-01-20T00:00:00"/>
        <d v="2025-01-21T00:00:00"/>
        <d v="2025-01-22T00:00:00"/>
        <d v="2025-01-24T00:00:00"/>
        <d v="2025-01-26T00:00:00"/>
        <d v="2025-01-27T00:00:00"/>
        <d v="2025-01-28T00:00:00"/>
        <d v="2025-01-29T00:00:00"/>
        <d v="2025-01-30T00:00:00"/>
        <d v="2025-01-31T00:00:00"/>
        <d v="2025-02-01T00:00:00"/>
        <d v="2025-02-02T00:00:00"/>
        <d v="2025-02-05T00:00:00"/>
        <d v="2025-02-06T00:00:00"/>
        <d v="2025-02-10T00:00:00"/>
        <d v="2025-02-11T00:00:00"/>
        <d v="2025-02-12T00:00:00"/>
        <d v="2025-02-14T00:00:00"/>
        <d v="2025-02-15T00:00:00"/>
        <d v="2025-02-17T00:00:00"/>
        <d v="2025-02-19T00:00:00"/>
        <d v="2025-02-20T00:00:00"/>
        <d v="2025-02-23T00:00:00"/>
        <d v="2025-02-24T00:00:00"/>
        <d v="2025-02-25T00:00:00"/>
        <d v="2025-02-26T00:00:00"/>
        <d v="2025-02-27T00:00:00"/>
        <d v="2025-03-02T00:00:00"/>
        <d v="2025-03-04T00:00:00"/>
        <d v="2025-03-06T00:00:00"/>
        <d v="2025-03-07T00:00:00"/>
        <d v="2025-03-08T00:00:00"/>
        <d v="2025-03-11T00:00:00"/>
        <d v="2025-03-13T00:00:00"/>
        <d v="2025-03-14T00:00:00"/>
        <d v="2025-03-15T00:00:00"/>
        <d v="2025-03-17T00:00:00"/>
        <d v="2025-03-18T00:00:00"/>
        <d v="2025-03-19T00:00:00"/>
        <d v="2025-03-21T00:00:00"/>
        <d v="2025-03-22T00:00:00"/>
        <d v="2025-03-23T00:00:00"/>
        <d v="2025-03-24T00:00:00"/>
        <d v="2025-03-25T00:00:00"/>
        <d v="2025-03-26T00:00:00"/>
        <d v="2025-03-27T00:00:00"/>
        <d v="2025-03-29T00:00:00"/>
        <d v="2025-03-31T00:00:00"/>
        <d v="2025-04-01T00:00:00"/>
        <d v="2025-04-02T00:00:00"/>
        <d v="2025-04-05T00:00:00"/>
        <d v="2025-04-06T00:00:00"/>
        <d v="2025-04-09T00:00:00"/>
        <d v="2025-04-10T00:00:00"/>
        <d v="2025-04-11T00:00:00"/>
        <d v="2025-04-14T00:00:00"/>
        <d v="2025-04-16T00:00:00"/>
        <d v="2025-04-17T00:00:00"/>
        <d v="2025-04-19T00:00:00"/>
        <d v="2025-04-21T00:00:00"/>
        <d v="2025-04-24T00:00:00"/>
        <d v="2025-04-25T00:00:00"/>
        <d v="2025-04-26T00:00:00"/>
        <d v="2025-04-27T00:00:00"/>
        <d v="2025-04-30T00:00:00"/>
        <d v="2025-05-01T00:00:00"/>
        <d v="2025-05-02T00:00:00"/>
        <d v="2025-05-05T00:00:00"/>
        <d v="2025-05-06T00:00:00"/>
        <d v="2025-05-09T00:00:00"/>
        <d v="2025-05-10T00:00:00"/>
        <d v="2025-05-11T00:00:00"/>
        <d v="2025-05-12T00:00:00"/>
        <d v="2025-05-14T00:00:00"/>
        <d v="2025-05-15T00:00:00"/>
        <d v="2025-05-16T00:00:00"/>
        <d v="2025-05-17T00:00:00"/>
        <d v="2025-05-18T00:00:00"/>
        <d v="2025-05-19T00:00:00"/>
        <d v="2025-05-21T00:00:00"/>
        <d v="2025-05-22T00:00:00"/>
        <d v="2025-05-23T00:00:00"/>
        <d v="2025-05-24T00:00:00"/>
        <d v="2025-05-25T00:00:00"/>
        <d v="2025-05-27T00:00:00"/>
        <d v="2025-05-28T00:00:00"/>
        <d v="2025-05-29T00:00:00"/>
        <d v="2025-05-30T00:00:00"/>
        <d v="2025-05-31T00:00:00"/>
        <d v="2025-06-02T00:00:00"/>
        <d v="2025-06-03T00:00:00"/>
        <d v="2025-06-04T00:00:00"/>
        <d v="2025-06-05T00:00:00"/>
        <d v="2025-06-07T00:00:00"/>
        <d v="2025-06-08T00:00:00"/>
        <d v="2025-06-09T00:00:00"/>
        <d v="2025-06-10T00:00:00"/>
        <d v="2025-06-12T00:00:00"/>
        <d v="2025-06-13T00:00:00"/>
        <d v="2025-06-16T00:00:00"/>
        <d v="2025-06-18T00:00:00"/>
        <d v="2025-06-19T00:00:00"/>
        <d v="2025-06-20T00:00:00"/>
        <d v="2025-06-21T00:00:00"/>
        <d v="2025-06-22T00:00:00"/>
        <d v="2025-06-23T00:00:00"/>
        <d v="2025-06-24T00:00:00"/>
        <d v="2025-06-25T00:00:00"/>
        <d v="2025-06-28T00:00:00"/>
        <d v="2025-06-29T00:00:00"/>
      </sharedItems>
    </cacheField>
    <cacheField name="[Range].[Order_Date (Month)].[Order_Date (Month)]" caption="Order_Date (Month)" numFmtId="0" hierarchy="3" level="1">
      <sharedItems count="4">
        <s v="Feb"/>
        <s v="Apr"/>
        <s v="May"/>
        <s v="Jun"/>
      </sharedItems>
    </cacheField>
  </cacheFields>
  <cacheHierarchies count="15">
    <cacheHierarchy uniqueName="[Range].[Category]" caption="Category" attribute="1" defaultMemberUniqueName="[Range].[Category].[All]" allUniqueName="[Range].[Category].[All]" dimensionUniqueName="[Range]" displayFolder="" count="2" memberValueDatatype="130" unbalanced="0"/>
    <cacheHierarchy uniqueName="[Range].[Discount_%]" caption="Discount_%" attribute="1" defaultMemberUniqueName="[Range].[Discount_%].[All]" allUniqueName="[Range].[Discount_%].[All]" dimensionUniqueName="[Range]" displayFolder="" count="0" memberValueDatatype="20" unbalanced="0"/>
    <cacheHierarchy uniqueName="[Range].[Order_Date]" caption="Order_Date" attribute="1" time="1" defaultMemberUniqueName="[Range].[Order_Date].[All]" allUniqueName="[Range].[Order_Date].[All]" dimensionUniqueName="[Range]" displayFolder="" count="2" memberValueDatatype="7" unbalanced="0">
      <fieldsUsage count="2">
        <fieldUsage x="-1"/>
        <fieldUsage x="1"/>
      </fieldsUsage>
    </cacheHierarchy>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2"/>
      </fieldsUsage>
    </cacheHierarchy>
    <cacheHierarchy uniqueName="[Range].[Order_ID]" caption="Order_ID" attribute="1" defaultMemberUniqueName="[Range].[Order_ID].[All]" allUniqueName="[Range].[Order_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Total_Sales]" caption="Total_Sales" attribute="1" defaultMemberUniqueName="[Range].[Total_Sales].[All]" allUniqueName="[Range].[Total_Sales].[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raveen Yadav" refreshedDate="46141.698598842595" backgroundQuery="1" createdVersion="6" refreshedVersion="6" minRefreshableVersion="3" recordCount="0" supportSubquery="1" supportAdvancedDrill="1">
  <cacheSource type="external" connectionId="1"/>
  <cacheFields count="3">
    <cacheField name="[Range].[Salesperson].[Salesperson]" caption="Salesperson" numFmtId="0" hierarchy="8" level="1">
      <sharedItems count="6">
        <s v="Aman"/>
        <s v="Karan"/>
        <s v="Neha"/>
        <s v="Priya"/>
        <s v="Rohit"/>
        <s v="Sneha"/>
      </sharedItems>
    </cacheField>
    <cacheField name="[Measures].[Sum of Total_Sales]" caption="Sum of Total_Sales" numFmtId="0" hierarchy="14" level="32767"/>
    <cacheField name="[Range].[Order_Date (Month)].[Order_Date (Month)]" caption="Order_Date (Month)" numFmtId="0" hierarchy="3" level="1">
      <sharedItems containsSemiMixedTypes="0" containsNonDate="0" containsString="0"/>
    </cacheField>
  </cacheFields>
  <cacheHierarchies count="15">
    <cacheHierarchy uniqueName="[Range].[Category]" caption="Category" attribute="1" defaultMemberUniqueName="[Range].[Category].[All]" allUniqueName="[Range].[Category].[All]" dimensionUniqueName="[Range]" displayFolder="" count="2" memberValueDatatype="130" unbalanced="0"/>
    <cacheHierarchy uniqueName="[Range].[Discount_%]" caption="Discount_%" attribute="1" defaultMemberUniqueName="[Range].[Discount_%].[All]" allUniqueName="[Range].[Discount_%].[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2"/>
      </fieldsUsage>
    </cacheHierarchy>
    <cacheHierarchy uniqueName="[Range].[Order_ID]" caption="Order_ID" attribute="1" defaultMemberUniqueName="[Range].[Order_ID].[All]" allUniqueName="[Range].[Order_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Total_Sales]" caption="Total_Sales" attribute="1" defaultMemberUniqueName="[Range].[Total_Sales].[All]" allUniqueName="[Range].[Total_Sales].[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raveen Yadav" refreshedDate="46141.69859965278" backgroundQuery="1" createdVersion="6" refreshedVersion="6" minRefreshableVersion="3" recordCount="0" supportSubquery="1" supportAdvancedDrill="1">
  <cacheSource type="external" connectionId="1"/>
  <cacheFields count="3">
    <cacheField name="[Range].[Product].[Product]" caption="Product" numFmtId="0" hierarchy="5" level="1">
      <sharedItems count="16">
        <s v="Chair"/>
        <s v="Cupboard"/>
        <s v="Headphones"/>
        <s v="Jacket"/>
        <s v="Jeans"/>
        <s v="Keyboard"/>
        <s v="Laptop"/>
        <s v="Milk"/>
        <s v="Mobile"/>
        <s v="Oil"/>
        <s v="Rice"/>
        <s v="Shirt"/>
        <s v="Shoes"/>
        <s v="Sofa"/>
        <s v="Sugar"/>
        <s v="Table"/>
      </sharedItems>
    </cacheField>
    <cacheField name="[Measures].[Sum of Total_Sales]" caption="Sum of Total_Sales" numFmtId="0" hierarchy="14" level="32767"/>
    <cacheField name="[Range].[Order_Date (Month)].[Order_Date (Month)]" caption="Order_Date (Month)" numFmtId="0" hierarchy="3" level="1">
      <sharedItems containsSemiMixedTypes="0" containsNonDate="0" containsString="0"/>
    </cacheField>
  </cacheFields>
  <cacheHierarchies count="15">
    <cacheHierarchy uniqueName="[Range].[Category]" caption="Category" attribute="1" defaultMemberUniqueName="[Range].[Category].[All]" allUniqueName="[Range].[Category].[All]" dimensionUniqueName="[Range]" displayFolder="" count="2" memberValueDatatype="130" unbalanced="0"/>
    <cacheHierarchy uniqueName="[Range].[Discount_%]" caption="Discount_%" attribute="1" defaultMemberUniqueName="[Range].[Discount_%].[All]" allUniqueName="[Range].[Discount_%].[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2"/>
      </fieldsUsage>
    </cacheHierarchy>
    <cacheHierarchy uniqueName="[Range].[Order_ID]" caption="Order_ID" attribute="1" defaultMemberUniqueName="[Range].[Order_ID].[All]" allUniqueName="[Range].[Order_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Total_Sales]" caption="Total_Sales" attribute="1" defaultMemberUniqueName="[Range].[Total_Sales].[All]" allUniqueName="[Range].[Total_Sales].[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Praveen Yadav" refreshedDate="46141.698600462965" backgroundQuery="1" createdVersion="6" refreshedVersion="6" minRefreshableVersion="3" recordCount="0" supportSubquery="1" supportAdvancedDrill="1">
  <cacheSource type="external" connectionId="1"/>
  <cacheFields count="3">
    <cacheField name="[Range].[Region].[Region]" caption="Region" numFmtId="0" hierarchy="7" level="1">
      <sharedItems count="4">
        <s v="East"/>
        <s v="North"/>
        <s v="South"/>
        <s v="West"/>
      </sharedItems>
    </cacheField>
    <cacheField name="[Measures].[Sum of Total_Sales]" caption="Sum of Total_Sales" numFmtId="0" hierarchy="14" level="32767"/>
    <cacheField name="[Range].[Order_Date (Month)].[Order_Date (Month)]" caption="Order_Date (Month)" numFmtId="0" hierarchy="3" level="1">
      <sharedItems containsSemiMixedTypes="0" containsNonDate="0" containsString="0"/>
    </cacheField>
  </cacheFields>
  <cacheHierarchies count="15">
    <cacheHierarchy uniqueName="[Range].[Category]" caption="Category" attribute="1" defaultMemberUniqueName="[Range].[Category].[All]" allUniqueName="[Range].[Category].[All]" dimensionUniqueName="[Range]" displayFolder="" count="2" memberValueDatatype="130" unbalanced="0"/>
    <cacheHierarchy uniqueName="[Range].[Discount_%]" caption="Discount_%" attribute="1" defaultMemberUniqueName="[Range].[Discount_%].[All]" allUniqueName="[Range].[Discount_%].[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2"/>
      </fieldsUsage>
    </cacheHierarchy>
    <cacheHierarchy uniqueName="[Range].[Order_ID]" caption="Order_ID" attribute="1" defaultMemberUniqueName="[Range].[Order_ID].[All]" allUniqueName="[Range].[Order_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Total_Sales]" caption="Total_Sales" attribute="1" defaultMemberUniqueName="[Range].[Total_Sales].[All]" allUniqueName="[Range].[Total_Sales].[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Praveen Yadav" refreshedDate="46141.65846319444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Category]" caption="Category" attribute="1" defaultMemberUniqueName="[Range].[Category].[All]" allUniqueName="[Range].[Category].[All]" dimensionUniqueName="[Range]" displayFolder="" count="2" memberValueDatatype="130" unbalanced="0"/>
    <cacheHierarchy uniqueName="[Range].[Discount_%]" caption="Discount_%" attribute="1" defaultMemberUniqueName="[Range].[Discount_%].[All]" allUniqueName="[Range].[Discount_%].[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Total_Sales]" caption="Total_Sales" attribute="1" defaultMemberUniqueName="[Range].[Total_Sales].[All]" allUniqueName="[Range].[Total_Sales].[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2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00">
  <r>
    <x v="0"/>
    <x v="0"/>
    <x v="0"/>
    <s v="Neha"/>
    <x v="0"/>
    <x v="0"/>
    <n v="9"/>
    <n v="2206"/>
    <n v="5"/>
    <n v="18861.3"/>
  </r>
  <r>
    <x v="1"/>
    <x v="1"/>
    <x v="1"/>
    <s v="Karan"/>
    <x v="0"/>
    <x v="1"/>
    <n v="2"/>
    <n v="444"/>
    <n v="0"/>
    <n v="888"/>
  </r>
  <r>
    <x v="2"/>
    <x v="2"/>
    <x v="2"/>
    <s v="Aman"/>
    <x v="0"/>
    <x v="2"/>
    <n v="18"/>
    <n v="3636"/>
    <n v="5"/>
    <n v="62175.6"/>
  </r>
  <r>
    <x v="3"/>
    <x v="1"/>
    <x v="2"/>
    <s v="Aman"/>
    <x v="1"/>
    <x v="3"/>
    <n v="11"/>
    <n v="2476"/>
    <n v="5"/>
    <n v="25874.2"/>
  </r>
  <r>
    <x v="4"/>
    <x v="3"/>
    <x v="2"/>
    <s v="Aman"/>
    <x v="0"/>
    <x v="1"/>
    <n v="4"/>
    <n v="3140"/>
    <n v="10"/>
    <n v="11304"/>
  </r>
  <r>
    <x v="5"/>
    <x v="4"/>
    <x v="2"/>
    <s v="Karan"/>
    <x v="2"/>
    <x v="4"/>
    <n v="13"/>
    <n v="845"/>
    <n v="10"/>
    <n v="9886.5"/>
  </r>
  <r>
    <x v="6"/>
    <x v="5"/>
    <x v="1"/>
    <s v="Aman"/>
    <x v="1"/>
    <x v="5"/>
    <n v="2"/>
    <n v="2066"/>
    <n v="10"/>
    <n v="3718.8"/>
  </r>
  <r>
    <x v="7"/>
    <x v="6"/>
    <x v="2"/>
    <s v="Priya"/>
    <x v="2"/>
    <x v="6"/>
    <n v="15"/>
    <n v="3188"/>
    <n v="5"/>
    <n v="45429"/>
  </r>
  <r>
    <x v="8"/>
    <x v="7"/>
    <x v="3"/>
    <s v="Sneha"/>
    <x v="3"/>
    <x v="7"/>
    <n v="20"/>
    <n v="1601"/>
    <n v="5"/>
    <n v="30419"/>
  </r>
  <r>
    <x v="9"/>
    <x v="8"/>
    <x v="2"/>
    <s v="Sneha"/>
    <x v="3"/>
    <x v="8"/>
    <n v="11"/>
    <n v="658"/>
    <n v="5"/>
    <n v="6876.1"/>
  </r>
  <r>
    <x v="10"/>
    <x v="9"/>
    <x v="3"/>
    <s v="Sneha"/>
    <x v="3"/>
    <x v="7"/>
    <n v="7"/>
    <n v="4846"/>
    <n v="10"/>
    <n v="30529.8"/>
  </r>
  <r>
    <x v="11"/>
    <x v="10"/>
    <x v="2"/>
    <s v="Neha"/>
    <x v="2"/>
    <x v="9"/>
    <n v="9"/>
    <n v="1343"/>
    <n v="5"/>
    <n v="11482.65"/>
  </r>
  <r>
    <x v="12"/>
    <x v="11"/>
    <x v="3"/>
    <s v="Aman"/>
    <x v="2"/>
    <x v="10"/>
    <n v="12"/>
    <n v="1996"/>
    <n v="5"/>
    <n v="22754.400000000001"/>
  </r>
  <r>
    <x v="13"/>
    <x v="12"/>
    <x v="0"/>
    <s v="Sneha"/>
    <x v="0"/>
    <x v="0"/>
    <n v="5"/>
    <n v="1510"/>
    <n v="15"/>
    <n v="6417.5"/>
  </r>
  <r>
    <x v="14"/>
    <x v="13"/>
    <x v="0"/>
    <s v="Neha"/>
    <x v="2"/>
    <x v="10"/>
    <n v="17"/>
    <n v="2259"/>
    <n v="0"/>
    <n v="38403"/>
  </r>
  <r>
    <x v="15"/>
    <x v="14"/>
    <x v="3"/>
    <s v="Aman"/>
    <x v="3"/>
    <x v="11"/>
    <n v="4"/>
    <n v="2604"/>
    <n v="15"/>
    <n v="8853.6"/>
  </r>
  <r>
    <x v="16"/>
    <x v="15"/>
    <x v="1"/>
    <s v="Priya"/>
    <x v="3"/>
    <x v="8"/>
    <n v="17"/>
    <n v="1071"/>
    <n v="10"/>
    <n v="16386.3"/>
  </r>
  <r>
    <x v="17"/>
    <x v="16"/>
    <x v="2"/>
    <s v="Sneha"/>
    <x v="3"/>
    <x v="8"/>
    <n v="18"/>
    <n v="4544"/>
    <n v="0"/>
    <n v="81792"/>
  </r>
  <r>
    <x v="18"/>
    <x v="17"/>
    <x v="1"/>
    <s v="Karan"/>
    <x v="0"/>
    <x v="0"/>
    <n v="12"/>
    <n v="2719"/>
    <n v="5"/>
    <n v="30996.6"/>
  </r>
  <r>
    <x v="19"/>
    <x v="18"/>
    <x v="3"/>
    <s v="Karan"/>
    <x v="0"/>
    <x v="0"/>
    <n v="16"/>
    <n v="766"/>
    <n v="5"/>
    <n v="11643.2"/>
  </r>
  <r>
    <x v="20"/>
    <x v="19"/>
    <x v="1"/>
    <s v="Neha"/>
    <x v="1"/>
    <x v="12"/>
    <n v="17"/>
    <n v="3666"/>
    <n v="5"/>
    <n v="59205.9"/>
  </r>
  <r>
    <x v="21"/>
    <x v="20"/>
    <x v="1"/>
    <s v="Priya"/>
    <x v="3"/>
    <x v="13"/>
    <n v="12"/>
    <n v="3788"/>
    <n v="15"/>
    <n v="38637.599999999999"/>
  </r>
  <r>
    <x v="22"/>
    <x v="21"/>
    <x v="1"/>
    <s v="Aman"/>
    <x v="0"/>
    <x v="14"/>
    <n v="1"/>
    <n v="4737"/>
    <n v="5"/>
    <n v="4500.1499999999996"/>
  </r>
  <r>
    <x v="23"/>
    <x v="22"/>
    <x v="0"/>
    <s v="Karan"/>
    <x v="0"/>
    <x v="0"/>
    <n v="8"/>
    <n v="752"/>
    <n v="0"/>
    <n v="6016"/>
  </r>
  <r>
    <x v="24"/>
    <x v="23"/>
    <x v="3"/>
    <s v="Priya"/>
    <x v="1"/>
    <x v="12"/>
    <n v="16"/>
    <n v="1955"/>
    <n v="5"/>
    <n v="29716"/>
  </r>
  <r>
    <x v="25"/>
    <x v="24"/>
    <x v="3"/>
    <s v="Rohit"/>
    <x v="2"/>
    <x v="10"/>
    <n v="7"/>
    <n v="972"/>
    <n v="0"/>
    <n v="6804"/>
  </r>
  <r>
    <x v="26"/>
    <x v="25"/>
    <x v="3"/>
    <s v="Neha"/>
    <x v="2"/>
    <x v="10"/>
    <n v="15"/>
    <n v="643"/>
    <n v="0"/>
    <n v="9645"/>
  </r>
  <r>
    <x v="27"/>
    <x v="26"/>
    <x v="3"/>
    <s v="Priya"/>
    <x v="3"/>
    <x v="7"/>
    <n v="8"/>
    <n v="1769"/>
    <n v="5"/>
    <n v="13444.4"/>
  </r>
  <r>
    <x v="28"/>
    <x v="27"/>
    <x v="3"/>
    <s v="Karan"/>
    <x v="2"/>
    <x v="9"/>
    <n v="9"/>
    <n v="3989"/>
    <n v="5"/>
    <n v="34105.949999999997"/>
  </r>
  <r>
    <x v="29"/>
    <x v="28"/>
    <x v="1"/>
    <s v="Sneha"/>
    <x v="0"/>
    <x v="0"/>
    <n v="18"/>
    <n v="320"/>
    <n v="0"/>
    <n v="5760"/>
  </r>
  <r>
    <x v="30"/>
    <x v="29"/>
    <x v="3"/>
    <s v="Aman"/>
    <x v="2"/>
    <x v="10"/>
    <n v="7"/>
    <n v="3485"/>
    <n v="0"/>
    <n v="24395"/>
  </r>
  <r>
    <x v="31"/>
    <x v="30"/>
    <x v="3"/>
    <s v="Priya"/>
    <x v="2"/>
    <x v="6"/>
    <n v="15"/>
    <n v="2536"/>
    <n v="15"/>
    <n v="32334"/>
  </r>
  <r>
    <x v="32"/>
    <x v="31"/>
    <x v="0"/>
    <s v="Aman"/>
    <x v="1"/>
    <x v="12"/>
    <n v="7"/>
    <n v="679"/>
    <n v="0"/>
    <n v="4753"/>
  </r>
  <r>
    <x v="33"/>
    <x v="32"/>
    <x v="0"/>
    <s v="Karan"/>
    <x v="2"/>
    <x v="9"/>
    <n v="2"/>
    <n v="4360"/>
    <n v="0"/>
    <n v="8720"/>
  </r>
  <r>
    <x v="34"/>
    <x v="33"/>
    <x v="0"/>
    <s v="Karan"/>
    <x v="0"/>
    <x v="2"/>
    <n v="13"/>
    <n v="1182"/>
    <n v="5"/>
    <n v="14597.7"/>
  </r>
  <r>
    <x v="35"/>
    <x v="34"/>
    <x v="1"/>
    <s v="Neha"/>
    <x v="0"/>
    <x v="1"/>
    <n v="19"/>
    <n v="4830"/>
    <n v="10"/>
    <n v="82593"/>
  </r>
  <r>
    <x v="36"/>
    <x v="35"/>
    <x v="2"/>
    <s v="Sneha"/>
    <x v="3"/>
    <x v="8"/>
    <n v="9"/>
    <n v="3442"/>
    <n v="5"/>
    <n v="29429.1"/>
  </r>
  <r>
    <x v="37"/>
    <x v="36"/>
    <x v="1"/>
    <s v="Karan"/>
    <x v="3"/>
    <x v="7"/>
    <n v="1"/>
    <n v="3954"/>
    <n v="0"/>
    <n v="3954"/>
  </r>
  <r>
    <x v="38"/>
    <x v="6"/>
    <x v="2"/>
    <s v="Priya"/>
    <x v="3"/>
    <x v="8"/>
    <n v="12"/>
    <n v="763"/>
    <n v="5"/>
    <n v="8698.2000000000007"/>
  </r>
  <r>
    <x v="39"/>
    <x v="37"/>
    <x v="2"/>
    <s v="Neha"/>
    <x v="2"/>
    <x v="6"/>
    <n v="20"/>
    <n v="4533"/>
    <n v="0"/>
    <n v="90660"/>
  </r>
  <r>
    <x v="40"/>
    <x v="38"/>
    <x v="1"/>
    <s v="Rohit"/>
    <x v="0"/>
    <x v="2"/>
    <n v="9"/>
    <n v="1145"/>
    <n v="0"/>
    <n v="10305"/>
  </r>
  <r>
    <x v="41"/>
    <x v="39"/>
    <x v="3"/>
    <s v="Rohit"/>
    <x v="3"/>
    <x v="8"/>
    <n v="11"/>
    <n v="1867"/>
    <n v="10"/>
    <n v="18483.3"/>
  </r>
  <r>
    <x v="42"/>
    <x v="40"/>
    <x v="2"/>
    <s v="Priya"/>
    <x v="0"/>
    <x v="0"/>
    <n v="14"/>
    <n v="2466"/>
    <n v="0"/>
    <n v="34524"/>
  </r>
  <r>
    <x v="43"/>
    <x v="10"/>
    <x v="0"/>
    <s v="Aman"/>
    <x v="3"/>
    <x v="8"/>
    <n v="15"/>
    <n v="4719"/>
    <n v="15"/>
    <n v="60167.25"/>
  </r>
  <r>
    <x v="44"/>
    <x v="41"/>
    <x v="1"/>
    <s v="Sneha"/>
    <x v="0"/>
    <x v="2"/>
    <n v="18"/>
    <n v="495"/>
    <n v="10"/>
    <n v="8019"/>
  </r>
  <r>
    <x v="45"/>
    <x v="42"/>
    <x v="1"/>
    <s v="Neha"/>
    <x v="1"/>
    <x v="5"/>
    <n v="10"/>
    <n v="3187"/>
    <n v="0"/>
    <n v="31870"/>
  </r>
  <r>
    <x v="46"/>
    <x v="43"/>
    <x v="1"/>
    <s v="Priya"/>
    <x v="1"/>
    <x v="5"/>
    <n v="12"/>
    <n v="4786"/>
    <n v="15"/>
    <n v="48817.2"/>
  </r>
  <r>
    <x v="47"/>
    <x v="44"/>
    <x v="3"/>
    <s v="Neha"/>
    <x v="1"/>
    <x v="15"/>
    <n v="14"/>
    <n v="403"/>
    <n v="5"/>
    <n v="5359.9"/>
  </r>
  <r>
    <x v="48"/>
    <x v="45"/>
    <x v="3"/>
    <s v="Priya"/>
    <x v="1"/>
    <x v="12"/>
    <n v="6"/>
    <n v="1085"/>
    <n v="15"/>
    <n v="5533.5"/>
  </r>
  <r>
    <x v="49"/>
    <x v="46"/>
    <x v="0"/>
    <s v="Neha"/>
    <x v="1"/>
    <x v="3"/>
    <n v="12"/>
    <n v="2700"/>
    <n v="5"/>
    <n v="30780"/>
  </r>
  <r>
    <x v="50"/>
    <x v="47"/>
    <x v="2"/>
    <s v="Neha"/>
    <x v="1"/>
    <x v="3"/>
    <n v="11"/>
    <n v="2482"/>
    <n v="0"/>
    <n v="27302"/>
  </r>
  <r>
    <x v="51"/>
    <x v="48"/>
    <x v="2"/>
    <s v="Aman"/>
    <x v="2"/>
    <x v="6"/>
    <n v="1"/>
    <n v="1144"/>
    <n v="10"/>
    <n v="1029.5999999999999"/>
  </r>
  <r>
    <x v="52"/>
    <x v="49"/>
    <x v="0"/>
    <s v="Sneha"/>
    <x v="0"/>
    <x v="1"/>
    <n v="12"/>
    <n v="2769"/>
    <n v="15"/>
    <n v="28243.8"/>
  </r>
  <r>
    <x v="53"/>
    <x v="50"/>
    <x v="1"/>
    <s v="Rohit"/>
    <x v="1"/>
    <x v="12"/>
    <n v="2"/>
    <n v="3772"/>
    <n v="0"/>
    <n v="7544"/>
  </r>
  <r>
    <x v="54"/>
    <x v="51"/>
    <x v="2"/>
    <s v="Neha"/>
    <x v="2"/>
    <x v="4"/>
    <n v="11"/>
    <n v="2771"/>
    <n v="0"/>
    <n v="30481"/>
  </r>
  <r>
    <x v="55"/>
    <x v="52"/>
    <x v="3"/>
    <s v="Neha"/>
    <x v="2"/>
    <x v="6"/>
    <n v="13"/>
    <n v="2622"/>
    <n v="5"/>
    <n v="32381.7"/>
  </r>
  <r>
    <x v="56"/>
    <x v="53"/>
    <x v="0"/>
    <s v="Rohit"/>
    <x v="2"/>
    <x v="9"/>
    <n v="20"/>
    <n v="4862"/>
    <n v="10"/>
    <n v="87516"/>
  </r>
  <r>
    <x v="57"/>
    <x v="54"/>
    <x v="3"/>
    <s v="Sneha"/>
    <x v="3"/>
    <x v="8"/>
    <n v="14"/>
    <n v="4951"/>
    <n v="10"/>
    <n v="62382.6"/>
  </r>
  <r>
    <x v="58"/>
    <x v="55"/>
    <x v="2"/>
    <s v="Aman"/>
    <x v="1"/>
    <x v="3"/>
    <n v="6"/>
    <n v="894"/>
    <n v="10"/>
    <n v="4827.6000000000004"/>
  </r>
  <r>
    <x v="59"/>
    <x v="56"/>
    <x v="0"/>
    <s v="Priya"/>
    <x v="1"/>
    <x v="12"/>
    <n v="8"/>
    <n v="1831"/>
    <n v="5"/>
    <n v="13915.6"/>
  </r>
  <r>
    <x v="60"/>
    <x v="30"/>
    <x v="3"/>
    <s v="Sneha"/>
    <x v="2"/>
    <x v="4"/>
    <n v="15"/>
    <n v="3595"/>
    <n v="5"/>
    <n v="51228.75"/>
  </r>
  <r>
    <x v="61"/>
    <x v="57"/>
    <x v="1"/>
    <s v="Priya"/>
    <x v="2"/>
    <x v="9"/>
    <n v="5"/>
    <n v="245"/>
    <n v="0"/>
    <n v="1225"/>
  </r>
  <r>
    <x v="62"/>
    <x v="58"/>
    <x v="1"/>
    <s v="Sneha"/>
    <x v="2"/>
    <x v="4"/>
    <n v="18"/>
    <n v="2241"/>
    <n v="0"/>
    <n v="40338"/>
  </r>
  <r>
    <x v="63"/>
    <x v="59"/>
    <x v="3"/>
    <s v="Priya"/>
    <x v="3"/>
    <x v="13"/>
    <n v="20"/>
    <n v="4335"/>
    <n v="15"/>
    <n v="73695"/>
  </r>
  <r>
    <x v="64"/>
    <x v="50"/>
    <x v="3"/>
    <s v="Neha"/>
    <x v="2"/>
    <x v="10"/>
    <n v="9"/>
    <n v="2225"/>
    <n v="10"/>
    <n v="18022.5"/>
  </r>
  <r>
    <x v="65"/>
    <x v="28"/>
    <x v="2"/>
    <s v="Rohit"/>
    <x v="1"/>
    <x v="12"/>
    <n v="15"/>
    <n v="834"/>
    <n v="10"/>
    <n v="11259"/>
  </r>
  <r>
    <x v="66"/>
    <x v="60"/>
    <x v="1"/>
    <s v="Neha"/>
    <x v="3"/>
    <x v="7"/>
    <n v="5"/>
    <n v="1435"/>
    <n v="5"/>
    <n v="6816.25"/>
  </r>
  <r>
    <x v="67"/>
    <x v="19"/>
    <x v="3"/>
    <s v="Sneha"/>
    <x v="1"/>
    <x v="5"/>
    <n v="14"/>
    <n v="3539"/>
    <n v="10"/>
    <n v="44591.4"/>
  </r>
  <r>
    <x v="68"/>
    <x v="61"/>
    <x v="3"/>
    <s v="Sneha"/>
    <x v="0"/>
    <x v="2"/>
    <n v="14"/>
    <n v="3390"/>
    <n v="0"/>
    <n v="47460"/>
  </r>
  <r>
    <x v="69"/>
    <x v="26"/>
    <x v="1"/>
    <s v="Sneha"/>
    <x v="0"/>
    <x v="14"/>
    <n v="10"/>
    <n v="3394"/>
    <n v="15"/>
    <n v="28849"/>
  </r>
  <r>
    <x v="70"/>
    <x v="62"/>
    <x v="2"/>
    <s v="Neha"/>
    <x v="1"/>
    <x v="12"/>
    <n v="14"/>
    <n v="4178"/>
    <n v="0"/>
    <n v="58492"/>
  </r>
  <r>
    <x v="71"/>
    <x v="63"/>
    <x v="0"/>
    <s v="Aman"/>
    <x v="2"/>
    <x v="9"/>
    <n v="15"/>
    <n v="1245"/>
    <n v="0"/>
    <n v="18675"/>
  </r>
  <r>
    <x v="72"/>
    <x v="34"/>
    <x v="3"/>
    <s v="Rohit"/>
    <x v="2"/>
    <x v="9"/>
    <n v="15"/>
    <n v="1688"/>
    <n v="0"/>
    <n v="25320"/>
  </r>
  <r>
    <x v="73"/>
    <x v="47"/>
    <x v="3"/>
    <s v="Rohit"/>
    <x v="1"/>
    <x v="3"/>
    <n v="11"/>
    <n v="2964"/>
    <n v="15"/>
    <n v="27713.4"/>
  </r>
  <r>
    <x v="74"/>
    <x v="64"/>
    <x v="1"/>
    <s v="Neha"/>
    <x v="0"/>
    <x v="1"/>
    <n v="1"/>
    <n v="4618"/>
    <n v="0"/>
    <n v="4618"/>
  </r>
  <r>
    <x v="75"/>
    <x v="65"/>
    <x v="1"/>
    <s v="Priya"/>
    <x v="0"/>
    <x v="0"/>
    <n v="1"/>
    <n v="2225"/>
    <n v="5"/>
    <n v="2113.75"/>
  </r>
  <r>
    <x v="76"/>
    <x v="54"/>
    <x v="2"/>
    <s v="Rohit"/>
    <x v="1"/>
    <x v="3"/>
    <n v="4"/>
    <n v="4820"/>
    <n v="5"/>
    <n v="18316"/>
  </r>
  <r>
    <x v="77"/>
    <x v="33"/>
    <x v="0"/>
    <s v="Rohit"/>
    <x v="1"/>
    <x v="5"/>
    <n v="6"/>
    <n v="2748"/>
    <n v="0"/>
    <n v="16488"/>
  </r>
  <r>
    <x v="78"/>
    <x v="66"/>
    <x v="2"/>
    <s v="Neha"/>
    <x v="2"/>
    <x v="10"/>
    <n v="7"/>
    <n v="822"/>
    <n v="5"/>
    <n v="5466.3"/>
  </r>
  <r>
    <x v="79"/>
    <x v="67"/>
    <x v="2"/>
    <s v="Aman"/>
    <x v="0"/>
    <x v="0"/>
    <n v="12"/>
    <n v="4564"/>
    <n v="15"/>
    <n v="46552.800000000003"/>
  </r>
  <r>
    <x v="80"/>
    <x v="68"/>
    <x v="2"/>
    <s v="Neha"/>
    <x v="3"/>
    <x v="7"/>
    <n v="14"/>
    <n v="4215"/>
    <n v="0"/>
    <n v="59010"/>
  </r>
  <r>
    <x v="81"/>
    <x v="69"/>
    <x v="3"/>
    <s v="Sneha"/>
    <x v="2"/>
    <x v="9"/>
    <n v="14"/>
    <n v="1642"/>
    <n v="10"/>
    <n v="20689.2"/>
  </r>
  <r>
    <x v="82"/>
    <x v="47"/>
    <x v="3"/>
    <s v="Priya"/>
    <x v="2"/>
    <x v="6"/>
    <n v="11"/>
    <n v="2211"/>
    <n v="0"/>
    <n v="24321"/>
  </r>
  <r>
    <x v="83"/>
    <x v="70"/>
    <x v="1"/>
    <s v="Sneha"/>
    <x v="2"/>
    <x v="10"/>
    <n v="11"/>
    <n v="435"/>
    <n v="15"/>
    <n v="4067.25"/>
  </r>
  <r>
    <x v="84"/>
    <x v="12"/>
    <x v="2"/>
    <s v="Karan"/>
    <x v="1"/>
    <x v="12"/>
    <n v="9"/>
    <n v="2988"/>
    <n v="10"/>
    <n v="24202.799999999999"/>
  </r>
  <r>
    <x v="85"/>
    <x v="71"/>
    <x v="1"/>
    <s v="Neha"/>
    <x v="0"/>
    <x v="2"/>
    <n v="3"/>
    <n v="2177"/>
    <n v="15"/>
    <n v="5551.35"/>
  </r>
  <r>
    <x v="86"/>
    <x v="72"/>
    <x v="1"/>
    <s v="Sneha"/>
    <x v="2"/>
    <x v="10"/>
    <n v="15"/>
    <n v="341"/>
    <n v="0"/>
    <n v="5115"/>
  </r>
  <r>
    <x v="87"/>
    <x v="38"/>
    <x v="2"/>
    <s v="Sneha"/>
    <x v="1"/>
    <x v="12"/>
    <n v="19"/>
    <n v="3223"/>
    <n v="15"/>
    <n v="52051.45"/>
  </r>
  <r>
    <x v="88"/>
    <x v="73"/>
    <x v="1"/>
    <s v="Aman"/>
    <x v="3"/>
    <x v="11"/>
    <n v="15"/>
    <n v="2419"/>
    <n v="10"/>
    <n v="32656.5"/>
  </r>
  <r>
    <x v="89"/>
    <x v="52"/>
    <x v="1"/>
    <s v="Neha"/>
    <x v="1"/>
    <x v="12"/>
    <n v="4"/>
    <n v="4589"/>
    <n v="5"/>
    <n v="17438.2"/>
  </r>
  <r>
    <x v="90"/>
    <x v="74"/>
    <x v="1"/>
    <s v="Rohit"/>
    <x v="2"/>
    <x v="6"/>
    <n v="19"/>
    <n v="4497"/>
    <n v="10"/>
    <n v="76898.7"/>
  </r>
  <r>
    <x v="91"/>
    <x v="75"/>
    <x v="1"/>
    <s v="Rohit"/>
    <x v="1"/>
    <x v="12"/>
    <n v="6"/>
    <n v="2676"/>
    <n v="0"/>
    <n v="16056"/>
  </r>
  <r>
    <x v="92"/>
    <x v="15"/>
    <x v="3"/>
    <s v="Aman"/>
    <x v="0"/>
    <x v="0"/>
    <n v="18"/>
    <n v="2593"/>
    <n v="5"/>
    <n v="44340.3"/>
  </r>
  <r>
    <x v="93"/>
    <x v="76"/>
    <x v="1"/>
    <s v="Aman"/>
    <x v="0"/>
    <x v="14"/>
    <n v="16"/>
    <n v="4121"/>
    <n v="15"/>
    <n v="56045.599999999999"/>
  </r>
  <r>
    <x v="94"/>
    <x v="71"/>
    <x v="0"/>
    <s v="Karan"/>
    <x v="3"/>
    <x v="13"/>
    <n v="4"/>
    <n v="735"/>
    <n v="15"/>
    <n v="2499"/>
  </r>
  <r>
    <x v="95"/>
    <x v="77"/>
    <x v="1"/>
    <s v="Aman"/>
    <x v="0"/>
    <x v="2"/>
    <n v="5"/>
    <n v="4810"/>
    <n v="10"/>
    <n v="21645"/>
  </r>
  <r>
    <x v="96"/>
    <x v="78"/>
    <x v="2"/>
    <s v="Karan"/>
    <x v="2"/>
    <x v="9"/>
    <n v="17"/>
    <n v="3316"/>
    <n v="15"/>
    <n v="47916.2"/>
  </r>
  <r>
    <x v="97"/>
    <x v="79"/>
    <x v="1"/>
    <s v="Rohit"/>
    <x v="2"/>
    <x v="6"/>
    <n v="19"/>
    <n v="693"/>
    <n v="0"/>
    <n v="13167"/>
  </r>
  <r>
    <x v="98"/>
    <x v="14"/>
    <x v="0"/>
    <s v="Sneha"/>
    <x v="0"/>
    <x v="2"/>
    <n v="8"/>
    <n v="1623"/>
    <n v="0"/>
    <n v="12984"/>
  </r>
  <r>
    <x v="99"/>
    <x v="80"/>
    <x v="2"/>
    <s v="Neha"/>
    <x v="2"/>
    <x v="10"/>
    <n v="10"/>
    <n v="467"/>
    <n v="5"/>
    <n v="4436.5"/>
  </r>
  <r>
    <x v="100"/>
    <x v="57"/>
    <x v="0"/>
    <s v="Karan"/>
    <x v="2"/>
    <x v="4"/>
    <n v="8"/>
    <n v="2367"/>
    <n v="5"/>
    <n v="17989.2"/>
  </r>
  <r>
    <x v="101"/>
    <x v="25"/>
    <x v="1"/>
    <s v="Rohit"/>
    <x v="1"/>
    <x v="15"/>
    <n v="9"/>
    <n v="1365"/>
    <n v="0"/>
    <n v="12285"/>
  </r>
  <r>
    <x v="102"/>
    <x v="81"/>
    <x v="3"/>
    <s v="Rohit"/>
    <x v="3"/>
    <x v="13"/>
    <n v="4"/>
    <n v="4039"/>
    <n v="10"/>
    <n v="14540.4"/>
  </r>
  <r>
    <x v="103"/>
    <x v="82"/>
    <x v="2"/>
    <s v="Aman"/>
    <x v="2"/>
    <x v="10"/>
    <n v="3"/>
    <n v="526"/>
    <n v="15"/>
    <n v="1341.3"/>
  </r>
  <r>
    <x v="104"/>
    <x v="61"/>
    <x v="0"/>
    <s v="Priya"/>
    <x v="0"/>
    <x v="2"/>
    <n v="19"/>
    <n v="369"/>
    <n v="10"/>
    <n v="6309.9"/>
  </r>
  <r>
    <x v="105"/>
    <x v="83"/>
    <x v="3"/>
    <s v="Aman"/>
    <x v="2"/>
    <x v="10"/>
    <n v="9"/>
    <n v="1686"/>
    <n v="15"/>
    <n v="12897.9"/>
  </r>
  <r>
    <x v="106"/>
    <x v="35"/>
    <x v="0"/>
    <s v="Priya"/>
    <x v="2"/>
    <x v="6"/>
    <n v="14"/>
    <n v="2930"/>
    <n v="10"/>
    <n v="36918"/>
  </r>
  <r>
    <x v="107"/>
    <x v="59"/>
    <x v="0"/>
    <s v="Sneha"/>
    <x v="3"/>
    <x v="13"/>
    <n v="16"/>
    <n v="2561"/>
    <n v="15"/>
    <n v="34829.599999999999"/>
  </r>
  <r>
    <x v="108"/>
    <x v="53"/>
    <x v="0"/>
    <s v="Neha"/>
    <x v="0"/>
    <x v="14"/>
    <n v="9"/>
    <n v="2848"/>
    <n v="0"/>
    <n v="25632"/>
  </r>
  <r>
    <x v="109"/>
    <x v="84"/>
    <x v="3"/>
    <s v="Neha"/>
    <x v="2"/>
    <x v="10"/>
    <n v="2"/>
    <n v="1736"/>
    <n v="10"/>
    <n v="3124.8"/>
  </r>
  <r>
    <x v="110"/>
    <x v="80"/>
    <x v="3"/>
    <s v="Neha"/>
    <x v="2"/>
    <x v="4"/>
    <n v="7"/>
    <n v="2387"/>
    <n v="5"/>
    <n v="15873.55"/>
  </r>
  <r>
    <x v="111"/>
    <x v="85"/>
    <x v="0"/>
    <s v="Karan"/>
    <x v="2"/>
    <x v="4"/>
    <n v="1"/>
    <n v="2160"/>
    <n v="5"/>
    <n v="2052"/>
  </r>
  <r>
    <x v="112"/>
    <x v="20"/>
    <x v="1"/>
    <s v="Sneha"/>
    <x v="2"/>
    <x v="4"/>
    <n v="8"/>
    <n v="1129"/>
    <n v="15"/>
    <n v="7677.2"/>
  </r>
  <r>
    <x v="113"/>
    <x v="86"/>
    <x v="3"/>
    <s v="Karan"/>
    <x v="3"/>
    <x v="11"/>
    <n v="14"/>
    <n v="4152"/>
    <n v="15"/>
    <n v="49408.800000000003"/>
  </r>
  <r>
    <x v="114"/>
    <x v="87"/>
    <x v="2"/>
    <s v="Sneha"/>
    <x v="1"/>
    <x v="3"/>
    <n v="7"/>
    <n v="4363"/>
    <n v="5"/>
    <n v="29013.95"/>
  </r>
  <r>
    <x v="115"/>
    <x v="21"/>
    <x v="3"/>
    <s v="Priya"/>
    <x v="3"/>
    <x v="11"/>
    <n v="1"/>
    <n v="2517"/>
    <n v="10"/>
    <n v="2265.3000000000002"/>
  </r>
  <r>
    <x v="116"/>
    <x v="58"/>
    <x v="2"/>
    <s v="Priya"/>
    <x v="2"/>
    <x v="10"/>
    <n v="12"/>
    <n v="2923"/>
    <n v="15"/>
    <n v="29814.6"/>
  </r>
  <r>
    <x v="117"/>
    <x v="88"/>
    <x v="3"/>
    <s v="Neha"/>
    <x v="1"/>
    <x v="3"/>
    <n v="8"/>
    <n v="3565"/>
    <n v="0"/>
    <n v="28520"/>
  </r>
  <r>
    <x v="118"/>
    <x v="18"/>
    <x v="2"/>
    <s v="Aman"/>
    <x v="2"/>
    <x v="10"/>
    <n v="5"/>
    <n v="4257"/>
    <n v="0"/>
    <n v="21285"/>
  </r>
  <r>
    <x v="119"/>
    <x v="89"/>
    <x v="3"/>
    <s v="Neha"/>
    <x v="2"/>
    <x v="4"/>
    <n v="17"/>
    <n v="3943"/>
    <n v="0"/>
    <n v="67031"/>
  </r>
  <r>
    <x v="120"/>
    <x v="84"/>
    <x v="3"/>
    <s v="Neha"/>
    <x v="1"/>
    <x v="5"/>
    <n v="16"/>
    <n v="2371"/>
    <n v="10"/>
    <n v="34142.400000000001"/>
  </r>
  <r>
    <x v="121"/>
    <x v="4"/>
    <x v="3"/>
    <s v="Karan"/>
    <x v="0"/>
    <x v="14"/>
    <n v="18"/>
    <n v="3313"/>
    <n v="10"/>
    <n v="53670.6"/>
  </r>
  <r>
    <x v="122"/>
    <x v="90"/>
    <x v="3"/>
    <s v="Aman"/>
    <x v="0"/>
    <x v="0"/>
    <n v="8"/>
    <n v="2554"/>
    <n v="5"/>
    <n v="19410.400000000001"/>
  </r>
  <r>
    <x v="123"/>
    <x v="91"/>
    <x v="2"/>
    <s v="Aman"/>
    <x v="0"/>
    <x v="1"/>
    <n v="6"/>
    <n v="2653"/>
    <n v="0"/>
    <n v="15918"/>
  </r>
  <r>
    <x v="124"/>
    <x v="86"/>
    <x v="3"/>
    <s v="Karan"/>
    <x v="3"/>
    <x v="11"/>
    <n v="12"/>
    <n v="3728"/>
    <n v="5"/>
    <n v="42499.199999999997"/>
  </r>
  <r>
    <x v="125"/>
    <x v="43"/>
    <x v="1"/>
    <s v="Sneha"/>
    <x v="1"/>
    <x v="15"/>
    <n v="6"/>
    <n v="846"/>
    <n v="15"/>
    <n v="4314.6000000000004"/>
  </r>
  <r>
    <x v="126"/>
    <x v="92"/>
    <x v="0"/>
    <s v="Sneha"/>
    <x v="1"/>
    <x v="15"/>
    <n v="15"/>
    <n v="2280"/>
    <n v="15"/>
    <n v="29070"/>
  </r>
  <r>
    <x v="127"/>
    <x v="21"/>
    <x v="2"/>
    <s v="Neha"/>
    <x v="3"/>
    <x v="8"/>
    <n v="3"/>
    <n v="3818"/>
    <n v="10"/>
    <n v="10308.6"/>
  </r>
  <r>
    <x v="128"/>
    <x v="60"/>
    <x v="3"/>
    <s v="Aman"/>
    <x v="2"/>
    <x v="6"/>
    <n v="15"/>
    <n v="2674"/>
    <n v="5"/>
    <n v="38104.5"/>
  </r>
  <r>
    <x v="129"/>
    <x v="81"/>
    <x v="2"/>
    <s v="Aman"/>
    <x v="1"/>
    <x v="3"/>
    <n v="19"/>
    <n v="3140"/>
    <n v="10"/>
    <n v="53694"/>
  </r>
  <r>
    <x v="130"/>
    <x v="49"/>
    <x v="3"/>
    <s v="Rohit"/>
    <x v="2"/>
    <x v="6"/>
    <n v="1"/>
    <n v="4836"/>
    <n v="0"/>
    <n v="4836"/>
  </r>
  <r>
    <x v="131"/>
    <x v="93"/>
    <x v="1"/>
    <s v="Neha"/>
    <x v="1"/>
    <x v="12"/>
    <n v="8"/>
    <n v="1757"/>
    <n v="10"/>
    <n v="12650.4"/>
  </r>
  <r>
    <x v="132"/>
    <x v="33"/>
    <x v="2"/>
    <s v="Neha"/>
    <x v="0"/>
    <x v="0"/>
    <n v="10"/>
    <n v="3811"/>
    <n v="0"/>
    <n v="38110"/>
  </r>
  <r>
    <x v="133"/>
    <x v="94"/>
    <x v="1"/>
    <s v="Priya"/>
    <x v="1"/>
    <x v="5"/>
    <n v="10"/>
    <n v="2876"/>
    <n v="15"/>
    <n v="24446"/>
  </r>
  <r>
    <x v="134"/>
    <x v="72"/>
    <x v="2"/>
    <s v="Aman"/>
    <x v="3"/>
    <x v="11"/>
    <n v="6"/>
    <n v="2305"/>
    <n v="15"/>
    <n v="11755.5"/>
  </r>
  <r>
    <x v="135"/>
    <x v="95"/>
    <x v="2"/>
    <s v="Aman"/>
    <x v="2"/>
    <x v="4"/>
    <n v="5"/>
    <n v="2048"/>
    <n v="15"/>
    <n v="8704"/>
  </r>
  <r>
    <x v="136"/>
    <x v="58"/>
    <x v="2"/>
    <s v="Neha"/>
    <x v="2"/>
    <x v="4"/>
    <n v="9"/>
    <n v="4595"/>
    <n v="0"/>
    <n v="41355"/>
  </r>
  <r>
    <x v="137"/>
    <x v="96"/>
    <x v="0"/>
    <s v="Karan"/>
    <x v="3"/>
    <x v="13"/>
    <n v="12"/>
    <n v="1087"/>
    <n v="5"/>
    <n v="12391.8"/>
  </r>
  <r>
    <x v="138"/>
    <x v="97"/>
    <x v="3"/>
    <s v="Aman"/>
    <x v="3"/>
    <x v="8"/>
    <n v="3"/>
    <n v="4003"/>
    <n v="10"/>
    <n v="10808.1"/>
  </r>
  <r>
    <x v="139"/>
    <x v="98"/>
    <x v="0"/>
    <s v="Priya"/>
    <x v="1"/>
    <x v="5"/>
    <n v="2"/>
    <n v="2693"/>
    <n v="15"/>
    <n v="4578.1000000000004"/>
  </r>
  <r>
    <x v="140"/>
    <x v="21"/>
    <x v="1"/>
    <s v="Sneha"/>
    <x v="1"/>
    <x v="3"/>
    <n v="15"/>
    <n v="3239"/>
    <n v="15"/>
    <n v="41297.25"/>
  </r>
  <r>
    <x v="141"/>
    <x v="8"/>
    <x v="2"/>
    <s v="Priya"/>
    <x v="0"/>
    <x v="1"/>
    <n v="20"/>
    <n v="3543"/>
    <n v="10"/>
    <n v="63774"/>
  </r>
  <r>
    <x v="142"/>
    <x v="99"/>
    <x v="2"/>
    <s v="Karan"/>
    <x v="2"/>
    <x v="10"/>
    <n v="8"/>
    <n v="3171"/>
    <n v="0"/>
    <n v="25368"/>
  </r>
  <r>
    <x v="143"/>
    <x v="100"/>
    <x v="3"/>
    <s v="Aman"/>
    <x v="3"/>
    <x v="7"/>
    <n v="13"/>
    <n v="2460"/>
    <n v="5"/>
    <n v="30381"/>
  </r>
  <r>
    <x v="144"/>
    <x v="18"/>
    <x v="1"/>
    <s v="Aman"/>
    <x v="1"/>
    <x v="5"/>
    <n v="2"/>
    <n v="2932"/>
    <n v="5"/>
    <n v="5570.8"/>
  </r>
  <r>
    <x v="145"/>
    <x v="12"/>
    <x v="0"/>
    <s v="Rohit"/>
    <x v="1"/>
    <x v="15"/>
    <n v="8"/>
    <n v="2891"/>
    <n v="5"/>
    <n v="21971.599999999999"/>
  </r>
  <r>
    <x v="146"/>
    <x v="101"/>
    <x v="0"/>
    <s v="Priya"/>
    <x v="1"/>
    <x v="15"/>
    <n v="18"/>
    <n v="2253"/>
    <n v="5"/>
    <n v="38526.300000000003"/>
  </r>
  <r>
    <x v="147"/>
    <x v="94"/>
    <x v="2"/>
    <s v="Aman"/>
    <x v="0"/>
    <x v="14"/>
    <n v="8"/>
    <n v="2852"/>
    <n v="0"/>
    <n v="22816"/>
  </r>
  <r>
    <x v="148"/>
    <x v="102"/>
    <x v="3"/>
    <s v="Rohit"/>
    <x v="1"/>
    <x v="3"/>
    <n v="17"/>
    <n v="1131"/>
    <n v="0"/>
    <n v="19227"/>
  </r>
  <r>
    <x v="149"/>
    <x v="24"/>
    <x v="2"/>
    <s v="Sneha"/>
    <x v="0"/>
    <x v="1"/>
    <n v="17"/>
    <n v="2014"/>
    <n v="0"/>
    <n v="34238"/>
  </r>
  <r>
    <x v="150"/>
    <x v="99"/>
    <x v="0"/>
    <s v="Sneha"/>
    <x v="0"/>
    <x v="0"/>
    <n v="16"/>
    <n v="3490"/>
    <n v="15"/>
    <n v="47464"/>
  </r>
  <r>
    <x v="151"/>
    <x v="103"/>
    <x v="1"/>
    <s v="Rohit"/>
    <x v="2"/>
    <x v="4"/>
    <n v="3"/>
    <n v="2838"/>
    <n v="5"/>
    <n v="8088.3"/>
  </r>
  <r>
    <x v="152"/>
    <x v="58"/>
    <x v="3"/>
    <s v="Aman"/>
    <x v="3"/>
    <x v="13"/>
    <n v="20"/>
    <n v="4546"/>
    <n v="10"/>
    <n v="81828"/>
  </r>
  <r>
    <x v="153"/>
    <x v="104"/>
    <x v="2"/>
    <s v="Sneha"/>
    <x v="0"/>
    <x v="2"/>
    <n v="14"/>
    <n v="3899"/>
    <n v="5"/>
    <n v="51856.7"/>
  </r>
  <r>
    <x v="154"/>
    <x v="31"/>
    <x v="2"/>
    <s v="Rohit"/>
    <x v="2"/>
    <x v="10"/>
    <n v="4"/>
    <n v="2760"/>
    <n v="15"/>
    <n v="9384"/>
  </r>
  <r>
    <x v="155"/>
    <x v="90"/>
    <x v="3"/>
    <s v="Aman"/>
    <x v="1"/>
    <x v="3"/>
    <n v="3"/>
    <n v="947"/>
    <n v="0"/>
    <n v="2841"/>
  </r>
  <r>
    <x v="156"/>
    <x v="35"/>
    <x v="0"/>
    <s v="Sneha"/>
    <x v="3"/>
    <x v="8"/>
    <n v="18"/>
    <n v="691"/>
    <n v="10"/>
    <n v="11194.2"/>
  </r>
  <r>
    <x v="157"/>
    <x v="105"/>
    <x v="0"/>
    <s v="Karan"/>
    <x v="3"/>
    <x v="13"/>
    <n v="2"/>
    <n v="2556"/>
    <n v="10"/>
    <n v="4600.8"/>
  </r>
  <r>
    <x v="158"/>
    <x v="64"/>
    <x v="2"/>
    <s v="Aman"/>
    <x v="1"/>
    <x v="15"/>
    <n v="16"/>
    <n v="2037"/>
    <n v="0"/>
    <n v="32592"/>
  </r>
  <r>
    <x v="159"/>
    <x v="49"/>
    <x v="2"/>
    <s v="Aman"/>
    <x v="3"/>
    <x v="8"/>
    <n v="14"/>
    <n v="4795"/>
    <n v="0"/>
    <n v="67130"/>
  </r>
  <r>
    <x v="160"/>
    <x v="106"/>
    <x v="1"/>
    <s v="Priya"/>
    <x v="1"/>
    <x v="12"/>
    <n v="10"/>
    <n v="2983"/>
    <n v="10"/>
    <n v="26847"/>
  </r>
  <r>
    <x v="161"/>
    <x v="107"/>
    <x v="1"/>
    <s v="Sneha"/>
    <x v="2"/>
    <x v="4"/>
    <n v="5"/>
    <n v="451"/>
    <n v="0"/>
    <n v="2255"/>
  </r>
  <r>
    <x v="162"/>
    <x v="85"/>
    <x v="2"/>
    <s v="Karan"/>
    <x v="2"/>
    <x v="10"/>
    <n v="11"/>
    <n v="1489"/>
    <n v="10"/>
    <n v="14741.1"/>
  </r>
  <r>
    <x v="163"/>
    <x v="108"/>
    <x v="0"/>
    <s v="Rohit"/>
    <x v="0"/>
    <x v="0"/>
    <n v="5"/>
    <n v="1489"/>
    <n v="0"/>
    <n v="7445"/>
  </r>
  <r>
    <x v="164"/>
    <x v="109"/>
    <x v="1"/>
    <s v="Karan"/>
    <x v="2"/>
    <x v="10"/>
    <n v="16"/>
    <n v="3821"/>
    <n v="15"/>
    <n v="51965.599999999999"/>
  </r>
  <r>
    <x v="165"/>
    <x v="93"/>
    <x v="3"/>
    <s v="Karan"/>
    <x v="0"/>
    <x v="14"/>
    <n v="14"/>
    <n v="1108"/>
    <n v="10"/>
    <n v="13960.8"/>
  </r>
  <r>
    <x v="166"/>
    <x v="106"/>
    <x v="1"/>
    <s v="Rohit"/>
    <x v="3"/>
    <x v="7"/>
    <n v="8"/>
    <n v="3437"/>
    <n v="0"/>
    <n v="27496"/>
  </r>
  <r>
    <x v="167"/>
    <x v="20"/>
    <x v="0"/>
    <s v="Sneha"/>
    <x v="1"/>
    <x v="15"/>
    <n v="9"/>
    <n v="2571"/>
    <n v="10"/>
    <n v="20825.099999999999"/>
  </r>
  <r>
    <x v="168"/>
    <x v="110"/>
    <x v="2"/>
    <s v="Aman"/>
    <x v="2"/>
    <x v="9"/>
    <n v="5"/>
    <n v="3314"/>
    <n v="5"/>
    <n v="15741.5"/>
  </r>
  <r>
    <x v="169"/>
    <x v="27"/>
    <x v="2"/>
    <s v="Karan"/>
    <x v="2"/>
    <x v="4"/>
    <n v="14"/>
    <n v="353"/>
    <n v="15"/>
    <n v="4200.7"/>
  </r>
  <r>
    <x v="170"/>
    <x v="53"/>
    <x v="0"/>
    <s v="Rohit"/>
    <x v="2"/>
    <x v="10"/>
    <n v="14"/>
    <n v="2571"/>
    <n v="0"/>
    <n v="35994"/>
  </r>
  <r>
    <x v="171"/>
    <x v="111"/>
    <x v="1"/>
    <s v="Sneha"/>
    <x v="1"/>
    <x v="3"/>
    <n v="12"/>
    <n v="921"/>
    <n v="15"/>
    <n v="9394.2000000000007"/>
  </r>
  <r>
    <x v="172"/>
    <x v="112"/>
    <x v="2"/>
    <s v="Priya"/>
    <x v="2"/>
    <x v="4"/>
    <n v="13"/>
    <n v="2741"/>
    <n v="10"/>
    <n v="32069.7"/>
  </r>
  <r>
    <x v="173"/>
    <x v="64"/>
    <x v="2"/>
    <s v="Neha"/>
    <x v="0"/>
    <x v="0"/>
    <n v="17"/>
    <n v="4377"/>
    <n v="5"/>
    <n v="70688.55"/>
  </r>
  <r>
    <x v="174"/>
    <x v="113"/>
    <x v="1"/>
    <s v="Karan"/>
    <x v="1"/>
    <x v="15"/>
    <n v="4"/>
    <n v="1399"/>
    <n v="10"/>
    <n v="5036.3999999999996"/>
  </r>
  <r>
    <x v="175"/>
    <x v="114"/>
    <x v="3"/>
    <s v="Neha"/>
    <x v="1"/>
    <x v="5"/>
    <n v="6"/>
    <n v="4247"/>
    <n v="15"/>
    <n v="21659.7"/>
  </r>
  <r>
    <x v="176"/>
    <x v="96"/>
    <x v="3"/>
    <s v="Neha"/>
    <x v="3"/>
    <x v="11"/>
    <n v="5"/>
    <n v="3802"/>
    <n v="0"/>
    <n v="19010"/>
  </r>
  <r>
    <x v="177"/>
    <x v="39"/>
    <x v="0"/>
    <s v="Rohit"/>
    <x v="3"/>
    <x v="11"/>
    <n v="19"/>
    <n v="660"/>
    <n v="10"/>
    <n v="11286"/>
  </r>
  <r>
    <x v="178"/>
    <x v="80"/>
    <x v="0"/>
    <s v="Neha"/>
    <x v="2"/>
    <x v="10"/>
    <n v="2"/>
    <n v="666"/>
    <n v="10"/>
    <n v="1198.8"/>
  </r>
  <r>
    <x v="179"/>
    <x v="115"/>
    <x v="1"/>
    <s v="Rohit"/>
    <x v="0"/>
    <x v="1"/>
    <n v="15"/>
    <n v="4954"/>
    <n v="0"/>
    <n v="74310"/>
  </r>
  <r>
    <x v="180"/>
    <x v="76"/>
    <x v="0"/>
    <s v="Karan"/>
    <x v="2"/>
    <x v="9"/>
    <n v="2"/>
    <n v="3890"/>
    <n v="0"/>
    <n v="7780"/>
  </r>
  <r>
    <x v="181"/>
    <x v="116"/>
    <x v="1"/>
    <s v="Rohit"/>
    <x v="1"/>
    <x v="5"/>
    <n v="8"/>
    <n v="3786"/>
    <n v="15"/>
    <n v="25744.799999999999"/>
  </r>
  <r>
    <x v="182"/>
    <x v="93"/>
    <x v="0"/>
    <s v="Neha"/>
    <x v="3"/>
    <x v="11"/>
    <n v="13"/>
    <n v="3548"/>
    <n v="10"/>
    <n v="41511.599999999999"/>
  </r>
  <r>
    <x v="183"/>
    <x v="117"/>
    <x v="2"/>
    <s v="Neha"/>
    <x v="3"/>
    <x v="7"/>
    <n v="11"/>
    <n v="974"/>
    <n v="15"/>
    <n v="9106.9"/>
  </r>
  <r>
    <x v="184"/>
    <x v="64"/>
    <x v="2"/>
    <s v="Neha"/>
    <x v="1"/>
    <x v="12"/>
    <n v="3"/>
    <n v="4973"/>
    <n v="5"/>
    <n v="14173.05"/>
  </r>
  <r>
    <x v="185"/>
    <x v="10"/>
    <x v="3"/>
    <s v="Neha"/>
    <x v="2"/>
    <x v="9"/>
    <n v="20"/>
    <n v="894"/>
    <n v="10"/>
    <n v="16092"/>
  </r>
  <r>
    <x v="186"/>
    <x v="11"/>
    <x v="2"/>
    <s v="Aman"/>
    <x v="3"/>
    <x v="8"/>
    <n v="17"/>
    <n v="965"/>
    <n v="15"/>
    <n v="13944.25"/>
  </r>
  <r>
    <x v="187"/>
    <x v="118"/>
    <x v="1"/>
    <s v="Priya"/>
    <x v="3"/>
    <x v="11"/>
    <n v="6"/>
    <n v="1954"/>
    <n v="10"/>
    <n v="10551.6"/>
  </r>
  <r>
    <x v="188"/>
    <x v="39"/>
    <x v="0"/>
    <s v="Neha"/>
    <x v="1"/>
    <x v="15"/>
    <n v="3"/>
    <n v="2623"/>
    <n v="0"/>
    <n v="7869"/>
  </r>
  <r>
    <x v="189"/>
    <x v="7"/>
    <x v="1"/>
    <s v="Neha"/>
    <x v="3"/>
    <x v="8"/>
    <n v="20"/>
    <n v="3286"/>
    <n v="5"/>
    <n v="62434"/>
  </r>
  <r>
    <x v="190"/>
    <x v="93"/>
    <x v="1"/>
    <s v="Sneha"/>
    <x v="1"/>
    <x v="3"/>
    <n v="2"/>
    <n v="3565"/>
    <n v="10"/>
    <n v="6417"/>
  </r>
  <r>
    <x v="191"/>
    <x v="85"/>
    <x v="3"/>
    <s v="Priya"/>
    <x v="3"/>
    <x v="13"/>
    <n v="8"/>
    <n v="4574"/>
    <n v="5"/>
    <n v="34762.400000000001"/>
  </r>
  <r>
    <x v="192"/>
    <x v="110"/>
    <x v="3"/>
    <s v="Priya"/>
    <x v="3"/>
    <x v="13"/>
    <n v="15"/>
    <n v="2508"/>
    <n v="15"/>
    <n v="31977"/>
  </r>
  <r>
    <x v="193"/>
    <x v="119"/>
    <x v="0"/>
    <s v="Neha"/>
    <x v="1"/>
    <x v="15"/>
    <n v="9"/>
    <n v="627"/>
    <n v="15"/>
    <n v="4796.55"/>
  </r>
  <r>
    <x v="194"/>
    <x v="115"/>
    <x v="1"/>
    <s v="Sneha"/>
    <x v="0"/>
    <x v="14"/>
    <n v="3"/>
    <n v="1513"/>
    <n v="10"/>
    <n v="4085.1"/>
  </r>
  <r>
    <x v="195"/>
    <x v="120"/>
    <x v="0"/>
    <s v="Sneha"/>
    <x v="0"/>
    <x v="2"/>
    <n v="15"/>
    <n v="3063"/>
    <n v="0"/>
    <n v="45945"/>
  </r>
  <r>
    <x v="196"/>
    <x v="46"/>
    <x v="0"/>
    <s v="Rohit"/>
    <x v="3"/>
    <x v="8"/>
    <n v="13"/>
    <n v="868"/>
    <n v="10"/>
    <n v="10155.6"/>
  </r>
  <r>
    <x v="197"/>
    <x v="80"/>
    <x v="3"/>
    <s v="Neha"/>
    <x v="0"/>
    <x v="14"/>
    <n v="5"/>
    <n v="1327"/>
    <n v="0"/>
    <n v="6635"/>
  </r>
  <r>
    <x v="198"/>
    <x v="121"/>
    <x v="2"/>
    <s v="Priya"/>
    <x v="1"/>
    <x v="3"/>
    <n v="15"/>
    <n v="243"/>
    <n v="0"/>
    <n v="3645"/>
  </r>
  <r>
    <x v="199"/>
    <x v="122"/>
    <x v="0"/>
    <s v="Aman"/>
    <x v="1"/>
    <x v="3"/>
    <n v="4"/>
    <n v="2560"/>
    <n v="5"/>
    <n v="97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9"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2">
    <field x="10"/>
    <field x="1"/>
  </rowFields>
  <rowItems count="6">
    <i>
      <x v="1"/>
    </i>
    <i>
      <x v="2"/>
    </i>
    <i>
      <x v="3"/>
    </i>
    <i>
      <x v="4"/>
    </i>
    <i>
      <x v="5"/>
    </i>
    <i>
      <x v="6"/>
    </i>
  </rowItems>
  <colItems count="1">
    <i/>
  </colItems>
  <dataFields count="1">
    <dataField name="Sum of Total_Sales"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11">
    <pivotField showAll="0"/>
    <pivotField numFmtId="164" showAll="0"/>
    <pivotField showAll="0"/>
    <pivotField showAll="0"/>
    <pivotField showAll="0"/>
    <pivotField showAll="0"/>
    <pivotField showAll="0"/>
    <pivotField showAll="0"/>
    <pivotField showAll="0"/>
    <pivotField dataField="1" showAll="0"/>
    <pivotField showAll="0" defaultSubtotal="0"/>
  </pivotFields>
  <rowItems count="1">
    <i/>
  </rowItems>
  <colItems count="1">
    <i/>
  </colItems>
  <dataFields count="1">
    <dataField name="Sum of Total_Sales" fld="9" baseField="0" baseItem="542105152"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11">
    <pivotField showAll="0"/>
    <pivotField numFmtId="164" showAll="0"/>
    <pivotField showAll="0"/>
    <pivotField showAll="0"/>
    <pivotField showAll="0"/>
    <pivotField showAll="0"/>
    <pivotField showAll="0"/>
    <pivotField showAll="0"/>
    <pivotField showAll="0"/>
    <pivotField dataField="1" showAll="0"/>
    <pivotField showAll="0" defaultSubtotal="0"/>
  </pivotFields>
  <rowItems count="1">
    <i/>
  </rowItems>
  <colItems count="1">
    <i/>
  </colItems>
  <dataFields count="1">
    <dataField name="Average of Total_Sales" fld="9" subtotal="average" baseField="0" baseItem="542105152" numFmtId="1"/>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11">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64"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0" cacheId="43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7"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4">
    <i>
      <x/>
    </i>
    <i>
      <x v="1"/>
    </i>
    <i>
      <x v="2"/>
    </i>
    <i>
      <x v="3"/>
    </i>
  </rowItems>
  <colItems count="1">
    <i/>
  </colItems>
  <dataFields count="1">
    <dataField name="Sum of Total_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multipleItemSelectionAllowed="1" dragToData="1"/>
    <pivotHierarchy dragToData="1"/>
    <pivotHierarchy dragToData="1"/>
    <pivotHierarchy multipleItemSelectionAllowed="1" dragToData="1">
      <members count="4" level="1">
        <member name="[Range].[Order_Date (Month)].&amp;[Apr]"/>
        <member name="[Range].[Order_Date (Month)].&amp;[Feb]"/>
        <member name="[Range].[Order_Date (Month)].&amp;[Jun]"/>
        <member name="[Range].[Order_Date (Month)].&amp;[May]"/>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sales_dataset (!$A$1:$J$201">
        <x15:activeTabTopLevelEntity name="[Range]"/>
      </x15:pivotTableUISettings>
    </ext>
  </extLst>
</pivotTableDefinition>
</file>

<file path=xl/pivotTables/pivotTable6.xml><?xml version="1.0" encoding="utf-8"?>
<pivotTableDefinition xmlns="http://schemas.openxmlformats.org/spreadsheetml/2006/main" name="PivotTable21" cacheId="437" applyNumberFormats="0" applyBorderFormats="0" applyFontFormats="0" applyPatternFormats="0" applyAlignmentFormats="0" applyWidthHeightFormats="1" dataCaption="Values" updatedVersion="6" minRefreshableVersion="3" useAutoFormatting="1" rowGrandTotals="0" colGrandTotals="0" itemPrintTitles="1" createdVersion="6" indent="0" showHeaders="0" outline="1" outlineData="1" multipleFieldFilters="0" chartFormat="9">
  <location ref="A3:B7" firstHeaderRow="1" firstDataRow="1" firstDataCol="1"/>
  <pivotFields count="3">
    <pivotField dataField="1" showAll="0"/>
    <pivotField axis="axisRow" allDrilled="1" showAll="0" dataSourceSort="1" defaultAttributeDrillState="1">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axis="axisRow" allDrilled="1" showAll="0" dataSourceSort="1">
      <items count="5">
        <item s="1" x="0" e="0"/>
        <item s="1" x="1" e="0"/>
        <item s="1" x="2" e="0"/>
        <item s="1" x="3" e="0"/>
        <item t="default"/>
      </items>
    </pivotField>
  </pivotFields>
  <rowFields count="2">
    <field x="2"/>
    <field x="1"/>
  </rowFields>
  <rowItems count="4">
    <i>
      <x/>
    </i>
    <i>
      <x v="1"/>
    </i>
    <i>
      <x v="2"/>
    </i>
    <i>
      <x v="3"/>
    </i>
  </rowItems>
  <colItems count="1">
    <i/>
  </colItems>
  <dataFields count="1">
    <dataField name="Sum of Total_Sales" fld="0" baseField="0" baseItem="0"/>
  </dataFields>
  <chartFormats count="6">
    <chartFormat chart="2" format="13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0" format="130" series="1">
      <pivotArea type="data" outline="0" fieldPosition="0">
        <references count="1">
          <reference field="4294967294" count="1" selected="0">
            <x v="0"/>
          </reference>
        </references>
      </pivotArea>
    </chartFormat>
  </chartFormats>
  <pivotHierarchies count="15">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sales_dataset (!$A$1:$J$201">
        <x15:activeTabTopLevelEntity name="[Range]"/>
      </x15:pivotTableUISettings>
    </ext>
  </extLst>
</pivotTableDefinition>
</file>

<file path=xl/pivotTables/pivotTable7.xml><?xml version="1.0" encoding="utf-8"?>
<pivotTableDefinition xmlns="http://schemas.openxmlformats.org/spreadsheetml/2006/main" name="PivotTable22" cacheId="4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3">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1">
    <field x="0"/>
  </rowFields>
  <rowItems count="7">
    <i>
      <x/>
    </i>
    <i>
      <x v="1"/>
    </i>
    <i>
      <x v="2"/>
    </i>
    <i>
      <x v="3"/>
    </i>
    <i>
      <x v="4"/>
    </i>
    <i>
      <x v="5"/>
    </i>
    <i t="grand">
      <x/>
    </i>
  </rowItems>
  <colItems count="1">
    <i/>
  </colItems>
  <dataFields count="1">
    <dataField name="Sum of Total_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5">
    <pivotHierarchy multipleItemSelectionAllowed="1" dragToData="1"/>
    <pivotHierarchy dragToData="1"/>
    <pivotHierarchy dragToData="1"/>
    <pivotHierarchy multipleItemSelectionAllowed="1" dragToData="1">
      <members count="4" level="1">
        <member name="[Range].[Order_Date (Month)].&amp;[Apr]"/>
        <member name="[Range].[Order_Date (Month)].&amp;[Feb]"/>
        <member name="[Range].[Order_Date (Month)].&amp;[Jun]"/>
        <member name="[Range].[Order_Date (Month)].&amp;[May]"/>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sales_dataset (!$A$1:$J$201">
        <x15:activeTabTopLevelEntity name="[Range]"/>
      </x15:pivotTableUISettings>
    </ext>
  </extLst>
</pivotTableDefinition>
</file>

<file path=xl/pivotTables/pivotTable8.xml><?xml version="1.0" encoding="utf-8"?>
<pivotTableDefinition xmlns="http://schemas.openxmlformats.org/spreadsheetml/2006/main" name="PivotTable23" cacheId="4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0" firstHeaderRow="1" firstDataRow="1" firstDataCol="1"/>
  <pivotFields count="3">
    <pivotField axis="axisRow" allDrilled="1" showAll="0" dataSourceSort="1" defaultAttributeDrillState="1">
      <items count="17">
        <item x="0"/>
        <item x="1"/>
        <item x="2"/>
        <item x="3"/>
        <item x="4"/>
        <item x="5"/>
        <item x="6"/>
        <item x="7"/>
        <item x="8"/>
        <item x="9"/>
        <item x="10"/>
        <item x="11"/>
        <item x="12"/>
        <item x="13"/>
        <item x="14"/>
        <item x="15"/>
        <item t="default"/>
      </items>
    </pivotField>
    <pivotField dataField="1" showAll="0"/>
    <pivotField allDrilled="1" showAll="0" dataSourceSort="1"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Total_Sales" fld="1" baseField="0" baseItem="0"/>
  </dataFields>
  <chartFormats count="34">
    <chartFormat chart="0" format="0"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pivotArea type="data" outline="0" fieldPosition="0">
        <references count="2">
          <reference field="4294967294" count="1" selected="0">
            <x v="0"/>
          </reference>
          <reference field="0" count="1" selected="0">
            <x v="2"/>
          </reference>
        </references>
      </pivotArea>
    </chartFormat>
    <chartFormat chart="3" format="22">
      <pivotArea type="data" outline="0" fieldPosition="0">
        <references count="2">
          <reference field="4294967294" count="1" selected="0">
            <x v="0"/>
          </reference>
          <reference field="0" count="1" selected="0">
            <x v="3"/>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 chart="3" format="24">
      <pivotArea type="data" outline="0" fieldPosition="0">
        <references count="2">
          <reference field="4294967294" count="1" selected="0">
            <x v="0"/>
          </reference>
          <reference field="0" count="1" selected="0">
            <x v="5"/>
          </reference>
        </references>
      </pivotArea>
    </chartFormat>
    <chartFormat chart="3" format="25">
      <pivotArea type="data" outline="0" fieldPosition="0">
        <references count="2">
          <reference field="4294967294" count="1" selected="0">
            <x v="0"/>
          </reference>
          <reference field="0" count="1" selected="0">
            <x v="6"/>
          </reference>
        </references>
      </pivotArea>
    </chartFormat>
    <chartFormat chart="3" format="26">
      <pivotArea type="data" outline="0" fieldPosition="0">
        <references count="2">
          <reference field="4294967294" count="1" selected="0">
            <x v="0"/>
          </reference>
          <reference field="0" count="1" selected="0">
            <x v="7"/>
          </reference>
        </references>
      </pivotArea>
    </chartFormat>
    <chartFormat chart="3" format="27">
      <pivotArea type="data" outline="0" fieldPosition="0">
        <references count="2">
          <reference field="4294967294" count="1" selected="0">
            <x v="0"/>
          </reference>
          <reference field="0" count="1" selected="0">
            <x v="8"/>
          </reference>
        </references>
      </pivotArea>
    </chartFormat>
    <chartFormat chart="3" format="28">
      <pivotArea type="data" outline="0" fieldPosition="0">
        <references count="2">
          <reference field="4294967294" count="1" selected="0">
            <x v="0"/>
          </reference>
          <reference field="0" count="1" selected="0">
            <x v="9"/>
          </reference>
        </references>
      </pivotArea>
    </chartFormat>
    <chartFormat chart="3" format="29">
      <pivotArea type="data" outline="0" fieldPosition="0">
        <references count="2">
          <reference field="4294967294" count="1" selected="0">
            <x v="0"/>
          </reference>
          <reference field="0" count="1" selected="0">
            <x v="10"/>
          </reference>
        </references>
      </pivotArea>
    </chartFormat>
    <chartFormat chart="3" format="30">
      <pivotArea type="data" outline="0" fieldPosition="0">
        <references count="2">
          <reference field="4294967294" count="1" selected="0">
            <x v="0"/>
          </reference>
          <reference field="0" count="1" selected="0">
            <x v="11"/>
          </reference>
        </references>
      </pivotArea>
    </chartFormat>
    <chartFormat chart="3" format="31">
      <pivotArea type="data" outline="0" fieldPosition="0">
        <references count="2">
          <reference field="4294967294" count="1" selected="0">
            <x v="0"/>
          </reference>
          <reference field="0" count="1" selected="0">
            <x v="12"/>
          </reference>
        </references>
      </pivotArea>
    </chartFormat>
    <chartFormat chart="3" format="32">
      <pivotArea type="data" outline="0" fieldPosition="0">
        <references count="2">
          <reference field="4294967294" count="1" selected="0">
            <x v="0"/>
          </reference>
          <reference field="0" count="1" selected="0">
            <x v="13"/>
          </reference>
        </references>
      </pivotArea>
    </chartFormat>
    <chartFormat chart="3" format="33">
      <pivotArea type="data" outline="0" fieldPosition="0">
        <references count="2">
          <reference field="4294967294" count="1" selected="0">
            <x v="0"/>
          </reference>
          <reference field="0" count="1" selected="0">
            <x v="14"/>
          </reference>
        </references>
      </pivotArea>
    </chartFormat>
    <chartFormat chart="3" format="34">
      <pivotArea type="data" outline="0" fieldPosition="0">
        <references count="2">
          <reference field="4294967294" count="1" selected="0">
            <x v="0"/>
          </reference>
          <reference field="0" count="1" selected="0">
            <x v="1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0" format="16">
      <pivotArea type="data" outline="0" fieldPosition="0">
        <references count="2">
          <reference field="4294967294" count="1" selected="0">
            <x v="0"/>
          </reference>
          <reference field="0" count="1" selected="0">
            <x v="15"/>
          </reference>
        </references>
      </pivotArea>
    </chartFormat>
  </chartFormats>
  <pivotHierarchies count="15">
    <pivotHierarchy multipleItemSelectionAllowed="1" dragToData="1"/>
    <pivotHierarchy dragToData="1"/>
    <pivotHierarchy dragToData="1"/>
    <pivotHierarchy multipleItemSelectionAllowed="1" dragToData="1">
      <members count="4" level="1">
        <member name="[Range].[Order_Date (Month)].&amp;[Apr]"/>
        <member name="[Range].[Order_Date (Month)].&amp;[Feb]"/>
        <member name="[Range].[Order_Date (Month)].&amp;[Jun]"/>
        <member name="[Range].[Order_Date (Month)].&amp;[May]"/>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sales_dataset (!$A$1:$J$201">
        <x15:activeTabTopLevelEntity name="[Range]"/>
      </x15:pivotTableUISettings>
    </ext>
  </extLst>
</pivotTableDefinition>
</file>

<file path=xl/pivotTables/pivotTable9.xml><?xml version="1.0" encoding="utf-8"?>
<pivotTableDefinition xmlns="http://schemas.openxmlformats.org/spreadsheetml/2006/main" name="PivotTable24" cacheId="44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7"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4">
    <i>
      <x/>
    </i>
    <i>
      <x v="1"/>
    </i>
    <i>
      <x v="2"/>
    </i>
    <i>
      <x v="3"/>
    </i>
  </rowItems>
  <colItems count="1">
    <i/>
  </colItems>
  <dataFields count="1">
    <dataField name="Sum of Total_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5">
    <pivotHierarchy multipleItemSelectionAllowed="1" dragToData="1"/>
    <pivotHierarchy dragToData="1"/>
    <pivotHierarchy dragToData="1"/>
    <pivotHierarchy multipleItemSelectionAllowed="1" dragToData="1">
      <members count="4" level="1">
        <member name="[Range].[Order_Date (Month)].&amp;[Apr]"/>
        <member name="[Range].[Order_Date (Month)].&amp;[Feb]"/>
        <member name="[Range].[Order_Date (Month)].&amp;[Jun]"/>
        <member name="[Range].[Order_Date (Month)].&amp;[May]"/>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ortfolio_sales_dataset (!$A$1:$J$201">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Range].[Category]">
  <pivotTables>
    <pivotTable tabId="18" name="PivotTable20"/>
    <pivotTable tabId="19" name="PivotTable21"/>
    <pivotTable tabId="20" name="PivotTable22"/>
    <pivotTable tabId="21" name="PivotTable23"/>
    <pivotTable tabId="22" name="PivotTable24"/>
  </pivotTables>
  <data>
    <olap pivotCacheId="2">
      <levels count="2">
        <level uniqueName="[Range].[Category].[(All)]" sourceCaption="(All)" count="0"/>
        <level uniqueName="[Range].[Category].[Category]" sourceCaption="Category" count="4">
          <ranges>
            <range startItem="0">
              <i n="[Range].[Category].&amp;[Clothing]" c="Clothing"/>
              <i n="[Range].[Category].&amp;[Electronics]" c="Electronics"/>
              <i n="[Range].[Category].&amp;[Furniture]" c="Furniture"/>
              <i n="[Range].[Category].&amp;[Groceries]" c="Groceries"/>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__Month" sourceName="[Range].[Order_Date (Month)]">
  <pivotTables>
    <pivotTable tabId="18" name="PivotTable20"/>
    <pivotTable tabId="19" name="PivotTable21"/>
    <pivotTable tabId="20" name="PivotTable22"/>
    <pivotTable tabId="21" name="PivotTable23"/>
    <pivotTable tabId="22" name="PivotTable24"/>
  </pivotTables>
  <data>
    <olap pivotCacheId="2">
      <levels count="2">
        <level uniqueName="[Range].[Order_Date (Month)].[(All)]" sourceCaption="(All)" count="0"/>
        <level uniqueName="[Range].[Order_Date (Month)].[Order_Date (Month)]" sourceCaption="Order_Date (Month)" count="6">
          <ranges>
            <range startItem="0">
              <i n="[Range].[Order_Date (Month)].&amp;[Jan]" c="Jan"/>
              <i n="[Range].[Order_Date (Month)].&amp;[Feb]" c="Feb"/>
              <i n="[Range].[Order_Date (Month)].&amp;[Mar]" c="Mar"/>
              <i n="[Range].[Order_Date (Month)].&amp;[Apr]" c="Apr"/>
              <i n="[Range].[Order_Date (Month)].&amp;[May]" c="May"/>
              <i n="[Range].[Order_Date (Month)].&amp;[Jun]" c="Jun"/>
            </range>
          </ranges>
        </level>
      </levels>
      <selections count="4">
        <selection n="[Range].[Order_Date (Month)].&amp;[Apr]"/>
        <selection n="[Range].[Order_Date (Month)].&amp;[Feb]"/>
        <selection n="[Range].[Order_Date (Month)].&amp;[Jun]"/>
        <selection n="[Range].[Order_Date (Month)].&amp;[Ma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ange].[Region]">
  <pivotTables>
    <pivotTable tabId="18" name="PivotTable20"/>
    <pivotTable tabId="19" name="PivotTable21"/>
    <pivotTable tabId="20" name="PivotTable22"/>
    <pivotTable tabId="21" name="PivotTable23"/>
    <pivotTable tabId="22" name="PivotTable24"/>
  </pivotTables>
  <data>
    <olap pivotCacheId="2">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Range].[Product]">
  <pivotTables>
    <pivotTable tabId="18" name="PivotTable20"/>
    <pivotTable tabId="19" name="PivotTable21"/>
    <pivotTable tabId="20" name="PivotTable22"/>
    <pivotTable tabId="21" name="PivotTable23"/>
    <pivotTable tabId="22" name="PivotTable24"/>
  </pivotTables>
  <data>
    <olap pivotCacheId="2">
      <levels count="2">
        <level uniqueName="[Range].[Product].[(All)]" sourceCaption="(All)" count="0"/>
        <level uniqueName="[Range].[Product].[Product]" sourceCaption="Product" count="16">
          <ranges>
            <range startItem="0">
              <i n="[Range].[Product].&amp;[Chair]" c="Chair"/>
              <i n="[Range].[Product].&amp;[Cupboard]" c="Cupboard"/>
              <i n="[Range].[Product].&amp;[Headphones]" c="Headphones"/>
              <i n="[Range].[Product].&amp;[Jacket]" c="Jacket"/>
              <i n="[Range].[Product].&amp;[Jeans]" c="Jeans"/>
              <i n="[Range].[Product].&amp;[Keyboard]" c="Keyboard"/>
              <i n="[Range].[Product].&amp;[Laptop]" c="Laptop"/>
              <i n="[Range].[Product].&amp;[Milk]" c="Milk"/>
              <i n="[Range].[Product].&amp;[Mobile]" c="Mobile"/>
              <i n="[Range].[Product].&amp;[Oil]" c="Oil"/>
              <i n="[Range].[Product].&amp;[Rice]" c="Rice"/>
              <i n="[Range].[Product].&amp;[Shirt]" c="Shirt"/>
              <i n="[Range].[Product].&amp;[Shoes]" c="Shoes"/>
              <i n="[Range].[Product].&amp;[Sofa]" c="Sofa"/>
              <i n="[Range].[Product].&amp;[Sugar]" c="Sugar"/>
              <i n="[Range].[Product].&amp;[Table]" c="Table"/>
            </range>
          </ranges>
        </level>
      </levels>
      <selections count="1">
        <selection n="[Range].[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rowHeight="241300"/>
  <slicer name="Order_Date (Month)" cache="Slicer_Order_Date__Month" caption="Order_Date (Month)" level="1" rowHeight="241300"/>
  <slicer name="Region" cache="Slicer_Region" caption="Region" level="1" rowHeight="241300"/>
  <slicer name="Product" cache="Slicer_Product" caption="Produc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5" x14ac:dyDescent="0.25"/>
  <cols>
    <col min="1" max="1" width="13.140625" bestFit="1" customWidth="1"/>
    <col min="2" max="2" width="17.85546875" bestFit="1" customWidth="1"/>
  </cols>
  <sheetData>
    <row r="3" spans="1:2" x14ac:dyDescent="0.25">
      <c r="A3" s="6" t="s">
        <v>245</v>
      </c>
      <c r="B3" t="s">
        <v>247</v>
      </c>
    </row>
    <row r="4" spans="1:2" x14ac:dyDescent="0.25">
      <c r="A4" s="5" t="s">
        <v>248</v>
      </c>
      <c r="B4" s="4">
        <v>582551.14999999979</v>
      </c>
    </row>
    <row r="5" spans="1:2" x14ac:dyDescent="0.25">
      <c r="A5" s="5" t="s">
        <v>249</v>
      </c>
      <c r="B5" s="4">
        <v>549190.1</v>
      </c>
    </row>
    <row r="6" spans="1:2" x14ac:dyDescent="0.25">
      <c r="A6" s="5" t="s">
        <v>250</v>
      </c>
      <c r="B6" s="4">
        <v>801092.90000000014</v>
      </c>
    </row>
    <row r="7" spans="1:2" x14ac:dyDescent="0.25">
      <c r="A7" s="5" t="s">
        <v>251</v>
      </c>
      <c r="B7" s="4">
        <v>1005171.2999999999</v>
      </c>
    </row>
    <row r="8" spans="1:2" x14ac:dyDescent="0.25">
      <c r="A8" s="5" t="s">
        <v>252</v>
      </c>
      <c r="B8" s="4">
        <v>919885.35</v>
      </c>
    </row>
    <row r="9" spans="1:2" x14ac:dyDescent="0.25">
      <c r="A9" s="5" t="s">
        <v>253</v>
      </c>
      <c r="B9" s="4">
        <v>1105788.6500000001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4"/>
  <sheetViews>
    <sheetView workbookViewId="0">
      <selection activeCell="A4" sqref="A4"/>
    </sheetView>
  </sheetViews>
  <sheetFormatPr defaultRowHeight="15" x14ac:dyDescent="0.25"/>
  <cols>
    <col min="1" max="1" width="17.28515625" customWidth="1"/>
  </cols>
  <sheetData>
    <row r="3" spans="1:1" x14ac:dyDescent="0.25">
      <c r="A3" t="s">
        <v>247</v>
      </c>
    </row>
    <row r="4" spans="1:1" x14ac:dyDescent="0.25">
      <c r="A4" s="7">
        <v>4963679.4499999993</v>
      </c>
    </row>
    <row r="9" spans="1:1" x14ac:dyDescent="0.25">
      <c r="A9" s="1"/>
    </row>
    <row r="14" spans="1:1" x14ac:dyDescent="0.25">
      <c r="A14"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5" x14ac:dyDescent="0.25"/>
  <cols>
    <col min="1" max="1" width="21.42578125" bestFit="1" customWidth="1"/>
  </cols>
  <sheetData>
    <row r="3" spans="1:1" x14ac:dyDescent="0.25">
      <c r="A3" t="s">
        <v>254</v>
      </c>
    </row>
    <row r="4" spans="1:1" x14ac:dyDescent="0.25">
      <c r="A4" s="7">
        <v>24818.397249999995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D13" sqref="D13"/>
    </sheetView>
  </sheetViews>
  <sheetFormatPr defaultRowHeight="15" x14ac:dyDescent="0.25"/>
  <cols>
    <col min="1" max="1" width="17.28515625" bestFit="1" customWidth="1"/>
  </cols>
  <sheetData>
    <row r="3" spans="1:1" x14ac:dyDescent="0.25">
      <c r="A3" t="s">
        <v>255</v>
      </c>
    </row>
    <row r="4" spans="1:1" x14ac:dyDescent="0.25">
      <c r="A4" s="4">
        <v>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G20" sqref="G20"/>
    </sheetView>
  </sheetViews>
  <sheetFormatPr defaultRowHeight="15" x14ac:dyDescent="0.25"/>
  <cols>
    <col min="1" max="1" width="13.140625" bestFit="1" customWidth="1"/>
    <col min="2" max="2" width="17.85546875" bestFit="1" customWidth="1"/>
  </cols>
  <sheetData>
    <row r="3" spans="1:2" x14ac:dyDescent="0.25">
      <c r="A3" s="6" t="s">
        <v>245</v>
      </c>
      <c r="B3" t="s">
        <v>247</v>
      </c>
    </row>
    <row r="4" spans="1:2" x14ac:dyDescent="0.25">
      <c r="A4" s="5" t="s">
        <v>38</v>
      </c>
      <c r="B4" s="4">
        <v>983753.65</v>
      </c>
    </row>
    <row r="5" spans="1:2" x14ac:dyDescent="0.25">
      <c r="A5" s="5" t="s">
        <v>13</v>
      </c>
      <c r="B5" s="4">
        <v>788535.8</v>
      </c>
    </row>
    <row r="6" spans="1:2" x14ac:dyDescent="0.25">
      <c r="A6" s="5" t="s">
        <v>24</v>
      </c>
      <c r="B6" s="4">
        <v>775108.25</v>
      </c>
    </row>
    <row r="7" spans="1:2" x14ac:dyDescent="0.25">
      <c r="A7" s="5" t="s">
        <v>28</v>
      </c>
      <c r="B7" s="4">
        <v>1032637.7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11" sqref="L11"/>
    </sheetView>
  </sheetViews>
  <sheetFormatPr defaultRowHeight="15" x14ac:dyDescent="0.25"/>
  <cols>
    <col min="1" max="1" width="6.7109375" bestFit="1" customWidth="1"/>
    <col min="2" max="2" width="17.85546875" bestFit="1" customWidth="1"/>
    <col min="3" max="7" width="8.7109375" customWidth="1"/>
    <col min="8" max="24" width="9.7109375" customWidth="1"/>
    <col min="25" max="28" width="8.7109375" customWidth="1"/>
    <col min="29" max="41" width="9.7109375" customWidth="1"/>
    <col min="42" max="46" width="8.7109375" customWidth="1"/>
    <col min="47" max="62" width="9.7109375" customWidth="1"/>
    <col min="63" max="66" width="8.7109375" customWidth="1"/>
    <col min="67" max="67" width="9" customWidth="1"/>
    <col min="68" max="79" width="9.7109375" customWidth="1"/>
    <col min="80" max="84" width="8.7109375" customWidth="1"/>
    <col min="85" max="103" width="9.7109375" customWidth="1"/>
    <col min="104" max="106" width="8.7109375" customWidth="1"/>
    <col min="107" max="107" width="9" customWidth="1"/>
    <col min="108" max="110" width="8.7109375" customWidth="1"/>
    <col min="111" max="124" width="9.7109375" customWidth="1"/>
    <col min="125" max="125" width="11.28515625" bestFit="1" customWidth="1"/>
    <col min="126" max="128" width="9.7109375" bestFit="1" customWidth="1"/>
    <col min="129" max="129" width="8.85546875" customWidth="1"/>
    <col min="130" max="130" width="11.28515625" bestFit="1" customWidth="1"/>
  </cols>
  <sheetData>
    <row r="3" spans="1:2" x14ac:dyDescent="0.25">
      <c r="B3" t="s">
        <v>247</v>
      </c>
    </row>
    <row r="4" spans="1:2" x14ac:dyDescent="0.25">
      <c r="A4" s="5" t="s">
        <v>249</v>
      </c>
      <c r="B4" s="4">
        <v>549190.1</v>
      </c>
    </row>
    <row r="5" spans="1:2" x14ac:dyDescent="0.25">
      <c r="A5" s="5" t="s">
        <v>251</v>
      </c>
      <c r="B5" s="4">
        <v>1005171.3</v>
      </c>
    </row>
    <row r="6" spans="1:2" x14ac:dyDescent="0.25">
      <c r="A6" s="5" t="s">
        <v>252</v>
      </c>
      <c r="B6" s="4">
        <v>919885.35</v>
      </c>
    </row>
    <row r="7" spans="1:2" x14ac:dyDescent="0.25">
      <c r="A7" s="5" t="s">
        <v>253</v>
      </c>
      <c r="B7" s="4">
        <v>1105788.6499999999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M9" sqref="M9"/>
    </sheetView>
  </sheetViews>
  <sheetFormatPr defaultRowHeight="15" x14ac:dyDescent="0.25"/>
  <cols>
    <col min="1" max="1" width="13.140625" bestFit="1" customWidth="1"/>
    <col min="2" max="2" width="17.85546875" bestFit="1" customWidth="1"/>
  </cols>
  <sheetData>
    <row r="3" spans="1:2" x14ac:dyDescent="0.25">
      <c r="A3" s="6" t="s">
        <v>245</v>
      </c>
      <c r="B3" t="s">
        <v>247</v>
      </c>
    </row>
    <row r="4" spans="1:2" x14ac:dyDescent="0.25">
      <c r="A4" s="5" t="s">
        <v>21</v>
      </c>
      <c r="B4" s="4">
        <v>718354.55</v>
      </c>
    </row>
    <row r="5" spans="1:2" x14ac:dyDescent="0.25">
      <c r="A5" s="5" t="s">
        <v>17</v>
      </c>
      <c r="B5" s="4">
        <v>253371</v>
      </c>
    </row>
    <row r="6" spans="1:2" x14ac:dyDescent="0.25">
      <c r="A6" s="5" t="s">
        <v>12</v>
      </c>
      <c r="B6" s="4">
        <v>884701.9</v>
      </c>
    </row>
    <row r="7" spans="1:2" x14ac:dyDescent="0.25">
      <c r="A7" s="5" t="s">
        <v>33</v>
      </c>
      <c r="B7" s="4">
        <v>444097.2</v>
      </c>
    </row>
    <row r="8" spans="1:2" x14ac:dyDescent="0.25">
      <c r="A8" s="5" t="s">
        <v>64</v>
      </c>
      <c r="B8" s="4">
        <v>420189.7</v>
      </c>
    </row>
    <row r="9" spans="1:2" x14ac:dyDescent="0.25">
      <c r="A9" s="5" t="s">
        <v>37</v>
      </c>
      <c r="B9" s="4">
        <v>859321.05</v>
      </c>
    </row>
    <row r="10" spans="1:2" x14ac:dyDescent="0.25">
      <c r="A10" s="5" t="s">
        <v>246</v>
      </c>
      <c r="B10" s="4">
        <v>3580035.4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A3" sqref="A3"/>
    </sheetView>
  </sheetViews>
  <sheetFormatPr defaultRowHeight="15" x14ac:dyDescent="0.25"/>
  <cols>
    <col min="1" max="1" width="13.140625" bestFit="1" customWidth="1"/>
    <col min="2" max="2" width="17.85546875" bestFit="1" customWidth="1"/>
  </cols>
  <sheetData>
    <row r="3" spans="1:2" x14ac:dyDescent="0.25">
      <c r="A3" s="6" t="s">
        <v>245</v>
      </c>
      <c r="B3" t="s">
        <v>247</v>
      </c>
    </row>
    <row r="4" spans="1:2" x14ac:dyDescent="0.25">
      <c r="A4" s="5" t="s">
        <v>31</v>
      </c>
      <c r="B4" s="4">
        <v>253330.3</v>
      </c>
    </row>
    <row r="5" spans="1:2" x14ac:dyDescent="0.25">
      <c r="A5" s="5" t="s">
        <v>25</v>
      </c>
      <c r="B5" s="4">
        <v>200433.05</v>
      </c>
    </row>
    <row r="6" spans="1:2" x14ac:dyDescent="0.25">
      <c r="A6" s="5" t="s">
        <v>60</v>
      </c>
      <c r="B6" s="4">
        <v>153513.65</v>
      </c>
    </row>
    <row r="7" spans="1:2" x14ac:dyDescent="0.25">
      <c r="A7" s="5" t="s">
        <v>50</v>
      </c>
      <c r="B7" s="4">
        <v>93478.1</v>
      </c>
    </row>
    <row r="8" spans="1:2" x14ac:dyDescent="0.25">
      <c r="A8" s="5" t="s">
        <v>41</v>
      </c>
      <c r="B8" s="4">
        <v>463313.5</v>
      </c>
    </row>
    <row r="9" spans="1:2" x14ac:dyDescent="0.25">
      <c r="A9" s="5" t="s">
        <v>18</v>
      </c>
      <c r="B9" s="4">
        <v>148983.79999999999</v>
      </c>
    </row>
    <row r="10" spans="1:2" x14ac:dyDescent="0.25">
      <c r="A10" s="5" t="s">
        <v>14</v>
      </c>
      <c r="B10" s="4">
        <v>220834.1</v>
      </c>
    </row>
    <row r="11" spans="1:2" x14ac:dyDescent="0.25">
      <c r="A11" s="5" t="s">
        <v>46</v>
      </c>
      <c r="B11" s="4">
        <v>238863.2</v>
      </c>
    </row>
    <row r="12" spans="1:2" x14ac:dyDescent="0.25">
      <c r="A12" s="5" t="s">
        <v>22</v>
      </c>
      <c r="B12" s="4">
        <v>265204.25</v>
      </c>
    </row>
    <row r="13" spans="1:2" x14ac:dyDescent="0.25">
      <c r="A13" s="5" t="s">
        <v>44</v>
      </c>
      <c r="B13" s="4">
        <v>228057.55</v>
      </c>
    </row>
    <row r="14" spans="1:2" x14ac:dyDescent="0.25">
      <c r="A14" s="5" t="s">
        <v>29</v>
      </c>
      <c r="B14" s="4">
        <v>270857.15000000002</v>
      </c>
    </row>
    <row r="15" spans="1:2" x14ac:dyDescent="0.25">
      <c r="A15" s="5" t="s">
        <v>39</v>
      </c>
      <c r="B15" s="4">
        <v>170600.45</v>
      </c>
    </row>
    <row r="16" spans="1:2" x14ac:dyDescent="0.25">
      <c r="A16" s="5" t="s">
        <v>58</v>
      </c>
      <c r="B16" s="4">
        <v>256361.60000000001</v>
      </c>
    </row>
    <row r="17" spans="1:2" x14ac:dyDescent="0.25">
      <c r="A17" s="5" t="s">
        <v>56</v>
      </c>
      <c r="B17" s="4">
        <v>277356.75</v>
      </c>
    </row>
    <row r="18" spans="1:2" x14ac:dyDescent="0.25">
      <c r="A18" s="5" t="s">
        <v>34</v>
      </c>
      <c r="B18" s="4">
        <v>294859.8</v>
      </c>
    </row>
    <row r="19" spans="1:2" x14ac:dyDescent="0.25">
      <c r="A19" s="5" t="s">
        <v>87</v>
      </c>
      <c r="B19" s="4">
        <v>43988.15</v>
      </c>
    </row>
    <row r="20" spans="1:2" x14ac:dyDescent="0.25">
      <c r="A20" s="5" t="s">
        <v>246</v>
      </c>
      <c r="B20" s="4">
        <v>3580035.4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18" sqref="M18"/>
    </sheetView>
  </sheetViews>
  <sheetFormatPr defaultRowHeight="15" x14ac:dyDescent="0.25"/>
  <cols>
    <col min="1" max="1" width="13.140625" bestFit="1" customWidth="1"/>
    <col min="2" max="2" width="17.85546875" bestFit="1" customWidth="1"/>
  </cols>
  <sheetData>
    <row r="3" spans="1:2" x14ac:dyDescent="0.25">
      <c r="A3" s="6" t="s">
        <v>245</v>
      </c>
      <c r="B3" t="s">
        <v>247</v>
      </c>
    </row>
    <row r="4" spans="1:2" x14ac:dyDescent="0.25">
      <c r="A4" s="5" t="s">
        <v>20</v>
      </c>
      <c r="B4" s="4">
        <v>1155565.05</v>
      </c>
    </row>
    <row r="5" spans="1:2" x14ac:dyDescent="0.25">
      <c r="A5" s="5" t="s">
        <v>11</v>
      </c>
      <c r="B5" s="4">
        <v>728656.4</v>
      </c>
    </row>
    <row r="6" spans="1:2" x14ac:dyDescent="0.25">
      <c r="A6" s="5" t="s">
        <v>16</v>
      </c>
      <c r="B6" s="4">
        <v>596089.30000000005</v>
      </c>
    </row>
    <row r="7" spans="1:2" x14ac:dyDescent="0.25">
      <c r="A7" s="5" t="s">
        <v>36</v>
      </c>
      <c r="B7" s="4">
        <v>1099724.6499999999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tabSelected="1" workbookViewId="0">
      <selection activeCell="M2" sqref="M2"/>
    </sheetView>
  </sheetViews>
  <sheetFormatPr defaultRowHeight="15" x14ac:dyDescent="0.25"/>
  <cols>
    <col min="1" max="1" width="9" style="1" bestFit="1" customWidth="1"/>
    <col min="2" max="2" width="11.28515625" style="2" bestFit="1" customWidth="1"/>
    <col min="3" max="3" width="7.140625" style="3" bestFit="1" customWidth="1"/>
    <col min="4" max="4" width="11.7109375" bestFit="1" customWidth="1"/>
    <col min="5" max="5" width="10.5703125" bestFit="1" customWidth="1"/>
    <col min="6" max="6" width="12.140625" bestFit="1" customWidth="1"/>
    <col min="7" max="7" width="8.7109375" style="4" bestFit="1" customWidth="1"/>
    <col min="8" max="8" width="10.140625" bestFit="1" customWidth="1"/>
    <col min="9" max="9" width="11.28515625" bestFit="1" customWidth="1"/>
    <col min="10" max="10" width="11" bestFit="1" customWidth="1"/>
    <col min="11" max="11" width="19.28515625" customWidth="1"/>
    <col min="12" max="12" width="13.7109375" customWidth="1"/>
    <col min="13" max="13" width="17.140625" customWidth="1"/>
  </cols>
  <sheetData>
    <row r="1" spans="1:13" x14ac:dyDescent="0.25">
      <c r="A1" s="1" t="s">
        <v>0</v>
      </c>
      <c r="B1" s="2" t="s">
        <v>1</v>
      </c>
      <c r="C1" s="3" t="s">
        <v>2</v>
      </c>
      <c r="D1" t="s">
        <v>3</v>
      </c>
      <c r="E1" t="s">
        <v>4</v>
      </c>
      <c r="F1" t="s">
        <v>5</v>
      </c>
      <c r="G1" s="4" t="s">
        <v>6</v>
      </c>
      <c r="H1" t="s">
        <v>7</v>
      </c>
      <c r="I1" t="s">
        <v>8</v>
      </c>
      <c r="J1" t="s">
        <v>9</v>
      </c>
      <c r="K1" t="s">
        <v>240</v>
      </c>
      <c r="L1" t="s">
        <v>241</v>
      </c>
      <c r="M1">
        <f>COUNTIF(D:D,D3)</f>
        <v>26</v>
      </c>
    </row>
    <row r="2" spans="1:13" x14ac:dyDescent="0.25">
      <c r="A2" s="1" t="s">
        <v>10</v>
      </c>
      <c r="B2" s="2">
        <v>45693</v>
      </c>
      <c r="C2" s="3" t="s">
        <v>11</v>
      </c>
      <c r="D2" t="s">
        <v>12</v>
      </c>
      <c r="E2" t="s">
        <v>13</v>
      </c>
      <c r="F2" t="s">
        <v>14</v>
      </c>
      <c r="G2" s="4">
        <v>9</v>
      </c>
      <c r="H2">
        <v>2206</v>
      </c>
      <c r="I2">
        <v>5</v>
      </c>
      <c r="J2">
        <v>18861.3</v>
      </c>
      <c r="K2" s="5">
        <f>SUM(J2:J201)</f>
        <v>4963679.4499999993</v>
      </c>
      <c r="L2">
        <f>AVERAGE(J2:J201)</f>
        <v>24818.397249999995</v>
      </c>
    </row>
    <row r="3" spans="1:13" x14ac:dyDescent="0.25">
      <c r="A3" s="1" t="s">
        <v>15</v>
      </c>
      <c r="B3" s="2">
        <v>45713</v>
      </c>
      <c r="C3" s="3" t="s">
        <v>16</v>
      </c>
      <c r="D3" t="s">
        <v>17</v>
      </c>
      <c r="E3" t="s">
        <v>13</v>
      </c>
      <c r="F3" t="s">
        <v>18</v>
      </c>
      <c r="G3" s="4">
        <v>2</v>
      </c>
      <c r="H3">
        <v>444</v>
      </c>
      <c r="I3">
        <v>0</v>
      </c>
      <c r="J3">
        <v>888</v>
      </c>
    </row>
    <row r="4" spans="1:13" x14ac:dyDescent="0.25">
      <c r="A4" s="1" t="s">
        <v>19</v>
      </c>
      <c r="B4" s="2">
        <v>45772</v>
      </c>
      <c r="C4" s="3" t="s">
        <v>20</v>
      </c>
      <c r="D4" t="s">
        <v>21</v>
      </c>
      <c r="E4" t="s">
        <v>13</v>
      </c>
      <c r="F4" t="s">
        <v>22</v>
      </c>
      <c r="G4" s="4">
        <v>18</v>
      </c>
      <c r="H4">
        <v>3636</v>
      </c>
      <c r="I4">
        <v>5</v>
      </c>
      <c r="J4">
        <v>62175.6</v>
      </c>
      <c r="K4" s="5" t="s">
        <v>243</v>
      </c>
      <c r="L4" t="s">
        <v>244</v>
      </c>
    </row>
    <row r="5" spans="1:13" x14ac:dyDescent="0.25">
      <c r="A5" s="1" t="s">
        <v>23</v>
      </c>
      <c r="B5" s="2">
        <v>45713</v>
      </c>
      <c r="C5" s="3" t="s">
        <v>20</v>
      </c>
      <c r="D5" t="s">
        <v>21</v>
      </c>
      <c r="E5" t="s">
        <v>24</v>
      </c>
      <c r="F5" t="s">
        <v>25</v>
      </c>
      <c r="G5" s="4">
        <v>11</v>
      </c>
      <c r="H5">
        <v>2476</v>
      </c>
      <c r="I5">
        <v>5</v>
      </c>
      <c r="J5">
        <v>25874.2</v>
      </c>
      <c r="K5" s="5">
        <f>COUNTIF(E2:E201,"Electronics")</f>
        <v>44</v>
      </c>
      <c r="L5" s="5">
        <f>COUNTA(A2:A201)</f>
        <v>200</v>
      </c>
    </row>
    <row r="6" spans="1:13" x14ac:dyDescent="0.25">
      <c r="A6" s="1" t="s">
        <v>26</v>
      </c>
      <c r="B6" s="2">
        <v>45812</v>
      </c>
      <c r="C6" s="3" t="s">
        <v>20</v>
      </c>
      <c r="D6" t="s">
        <v>21</v>
      </c>
      <c r="E6" t="s">
        <v>13</v>
      </c>
      <c r="F6" t="s">
        <v>18</v>
      </c>
      <c r="G6" s="4">
        <v>4</v>
      </c>
      <c r="H6">
        <v>3140</v>
      </c>
      <c r="I6">
        <v>10</v>
      </c>
      <c r="J6">
        <v>11304</v>
      </c>
      <c r="K6" s="5"/>
    </row>
    <row r="7" spans="1:13" x14ac:dyDescent="0.25">
      <c r="A7" s="1" t="s">
        <v>27</v>
      </c>
      <c r="B7" s="2">
        <v>45818</v>
      </c>
      <c r="C7" s="3" t="s">
        <v>20</v>
      </c>
      <c r="D7" t="s">
        <v>17</v>
      </c>
      <c r="E7" t="s">
        <v>28</v>
      </c>
      <c r="F7" t="s">
        <v>29</v>
      </c>
      <c r="G7" s="4">
        <v>13</v>
      </c>
      <c r="H7">
        <v>845</v>
      </c>
      <c r="I7">
        <v>10</v>
      </c>
      <c r="J7">
        <v>9886.5</v>
      </c>
      <c r="K7" s="5"/>
    </row>
    <row r="8" spans="1:13" x14ac:dyDescent="0.25">
      <c r="A8" s="1" t="s">
        <v>30</v>
      </c>
      <c r="B8" s="2">
        <v>45678</v>
      </c>
      <c r="C8" s="3" t="s">
        <v>16</v>
      </c>
      <c r="D8" t="s">
        <v>21</v>
      </c>
      <c r="E8" t="s">
        <v>24</v>
      </c>
      <c r="F8" t="s">
        <v>31</v>
      </c>
      <c r="G8" s="4">
        <v>2</v>
      </c>
      <c r="H8">
        <v>2066</v>
      </c>
      <c r="I8">
        <v>10</v>
      </c>
      <c r="J8">
        <v>3718.8</v>
      </c>
      <c r="K8" s="5" t="s">
        <v>242</v>
      </c>
    </row>
    <row r="9" spans="1:13" x14ac:dyDescent="0.25">
      <c r="A9" s="1" t="s">
        <v>32</v>
      </c>
      <c r="B9" s="2">
        <v>45752</v>
      </c>
      <c r="C9" s="3" t="s">
        <v>20</v>
      </c>
      <c r="D9" t="s">
        <v>33</v>
      </c>
      <c r="E9" t="s">
        <v>28</v>
      </c>
      <c r="F9" t="s">
        <v>34</v>
      </c>
      <c r="G9" s="4">
        <v>15</v>
      </c>
      <c r="H9">
        <v>3188</v>
      </c>
      <c r="I9">
        <v>5</v>
      </c>
      <c r="J9">
        <v>45429</v>
      </c>
      <c r="K9" s="5">
        <f>COUNTIF(E2:E201,"Clothing")</f>
        <v>44</v>
      </c>
    </row>
    <row r="10" spans="1:13" x14ac:dyDescent="0.25">
      <c r="A10" s="1" t="s">
        <v>35</v>
      </c>
      <c r="B10" s="2">
        <v>45699</v>
      </c>
      <c r="C10" s="3" t="s">
        <v>36</v>
      </c>
      <c r="D10" t="s">
        <v>37</v>
      </c>
      <c r="E10" t="s">
        <v>38</v>
      </c>
      <c r="F10" t="s">
        <v>39</v>
      </c>
      <c r="G10" s="4">
        <v>20</v>
      </c>
      <c r="H10">
        <v>1601</v>
      </c>
      <c r="I10">
        <v>5</v>
      </c>
      <c r="J10">
        <v>30419</v>
      </c>
      <c r="K10" s="5"/>
    </row>
    <row r="11" spans="1:13" x14ac:dyDescent="0.25">
      <c r="A11" s="1" t="s">
        <v>40</v>
      </c>
      <c r="B11" s="2">
        <v>45666</v>
      </c>
      <c r="C11" s="3" t="s">
        <v>20</v>
      </c>
      <c r="D11" t="s">
        <v>37</v>
      </c>
      <c r="E11" t="s">
        <v>38</v>
      </c>
      <c r="F11" t="s">
        <v>41</v>
      </c>
      <c r="G11" s="4">
        <v>11</v>
      </c>
      <c r="H11">
        <v>658</v>
      </c>
      <c r="I11">
        <v>5</v>
      </c>
      <c r="J11">
        <v>6876.1</v>
      </c>
      <c r="K11" s="5"/>
    </row>
    <row r="12" spans="1:13" x14ac:dyDescent="0.25">
      <c r="A12" s="1" t="s">
        <v>42</v>
      </c>
      <c r="B12" s="2">
        <v>45712</v>
      </c>
      <c r="C12" s="3" t="s">
        <v>36</v>
      </c>
      <c r="D12" t="s">
        <v>37</v>
      </c>
      <c r="E12" t="s">
        <v>38</v>
      </c>
      <c r="F12" t="s">
        <v>39</v>
      </c>
      <c r="G12" s="4">
        <v>7</v>
      </c>
      <c r="H12">
        <v>4846</v>
      </c>
      <c r="I12">
        <v>10</v>
      </c>
      <c r="J12">
        <v>30529.8</v>
      </c>
      <c r="K12" s="5" t="s">
        <v>28</v>
      </c>
    </row>
    <row r="13" spans="1:13" x14ac:dyDescent="0.25">
      <c r="A13" s="1" t="s">
        <v>43</v>
      </c>
      <c r="B13" s="2">
        <v>45801</v>
      </c>
      <c r="C13" s="3" t="s">
        <v>20</v>
      </c>
      <c r="D13" t="s">
        <v>12</v>
      </c>
      <c r="E13" t="s">
        <v>28</v>
      </c>
      <c r="F13" t="s">
        <v>44</v>
      </c>
      <c r="G13" s="4">
        <v>9</v>
      </c>
      <c r="H13">
        <v>1343</v>
      </c>
      <c r="I13">
        <v>5</v>
      </c>
      <c r="J13">
        <v>11482.65</v>
      </c>
      <c r="K13" s="5">
        <f>COUNTIF(E2:E201,"Groceries")</f>
        <v>59</v>
      </c>
    </row>
    <row r="14" spans="1:13" x14ac:dyDescent="0.25">
      <c r="A14" s="1" t="s">
        <v>45</v>
      </c>
      <c r="B14" s="2">
        <v>45788</v>
      </c>
      <c r="C14" s="3" t="s">
        <v>36</v>
      </c>
      <c r="D14" t="s">
        <v>21</v>
      </c>
      <c r="E14" t="s">
        <v>28</v>
      </c>
      <c r="F14" t="s">
        <v>46</v>
      </c>
      <c r="G14" s="4">
        <v>12</v>
      </c>
      <c r="H14">
        <v>1996</v>
      </c>
      <c r="I14">
        <v>5</v>
      </c>
      <c r="J14">
        <v>22754.400000000001</v>
      </c>
      <c r="K14" s="5"/>
    </row>
    <row r="15" spans="1:13" x14ac:dyDescent="0.25">
      <c r="A15" s="1" t="s">
        <v>47</v>
      </c>
      <c r="B15" s="2">
        <v>45810</v>
      </c>
      <c r="C15" s="3" t="s">
        <v>11</v>
      </c>
      <c r="D15" t="s">
        <v>37</v>
      </c>
      <c r="E15" t="s">
        <v>13</v>
      </c>
      <c r="F15" t="s">
        <v>14</v>
      </c>
      <c r="G15" s="4">
        <v>5</v>
      </c>
      <c r="H15">
        <v>1510</v>
      </c>
      <c r="I15">
        <v>15</v>
      </c>
      <c r="J15">
        <v>6417.5</v>
      </c>
      <c r="K15" s="5"/>
    </row>
    <row r="16" spans="1:13" x14ac:dyDescent="0.25">
      <c r="A16" s="1" t="s">
        <v>48</v>
      </c>
      <c r="B16" s="2">
        <v>45832</v>
      </c>
      <c r="C16" s="3" t="s">
        <v>11</v>
      </c>
      <c r="D16" t="s">
        <v>12</v>
      </c>
      <c r="E16" t="s">
        <v>28</v>
      </c>
      <c r="F16" t="s">
        <v>46</v>
      </c>
      <c r="G16" s="4">
        <v>17</v>
      </c>
      <c r="H16">
        <v>2259</v>
      </c>
      <c r="I16">
        <v>0</v>
      </c>
      <c r="J16">
        <v>38403</v>
      </c>
      <c r="K16" s="5" t="s">
        <v>24</v>
      </c>
    </row>
    <row r="17" spans="1:11" x14ac:dyDescent="0.25">
      <c r="A17" s="1" t="s">
        <v>49</v>
      </c>
      <c r="B17" s="2">
        <v>45698</v>
      </c>
      <c r="C17" s="3" t="s">
        <v>36</v>
      </c>
      <c r="D17" t="s">
        <v>21</v>
      </c>
      <c r="E17" t="s">
        <v>38</v>
      </c>
      <c r="F17" t="s">
        <v>50</v>
      </c>
      <c r="G17" s="4">
        <v>4</v>
      </c>
      <c r="H17">
        <v>2604</v>
      </c>
      <c r="I17">
        <v>15</v>
      </c>
      <c r="J17">
        <v>8853.6</v>
      </c>
      <c r="K17" s="5">
        <f>COUNTIF(E2:E201,"Furniture")</f>
        <v>53</v>
      </c>
    </row>
    <row r="18" spans="1:11" x14ac:dyDescent="0.25">
      <c r="A18" s="1" t="s">
        <v>51</v>
      </c>
      <c r="B18" s="2">
        <v>45821</v>
      </c>
      <c r="C18" s="3" t="s">
        <v>16</v>
      </c>
      <c r="D18" t="s">
        <v>33</v>
      </c>
      <c r="E18" t="s">
        <v>38</v>
      </c>
      <c r="F18" t="s">
        <v>41</v>
      </c>
      <c r="G18" s="4">
        <v>17</v>
      </c>
      <c r="H18">
        <v>1071</v>
      </c>
      <c r="I18">
        <v>10</v>
      </c>
      <c r="J18">
        <v>16386.3</v>
      </c>
    </row>
    <row r="19" spans="1:11" x14ac:dyDescent="0.25">
      <c r="A19" s="1" t="s">
        <v>52</v>
      </c>
      <c r="B19" s="2">
        <v>45811</v>
      </c>
      <c r="C19" s="3" t="s">
        <v>20</v>
      </c>
      <c r="D19" t="s">
        <v>37</v>
      </c>
      <c r="E19" t="s">
        <v>38</v>
      </c>
      <c r="F19" t="s">
        <v>41</v>
      </c>
      <c r="G19" s="4">
        <v>18</v>
      </c>
      <c r="H19">
        <v>4544</v>
      </c>
      <c r="I19">
        <v>0</v>
      </c>
      <c r="J19">
        <v>81792</v>
      </c>
    </row>
    <row r="20" spans="1:11" x14ac:dyDescent="0.25">
      <c r="A20" s="1" t="s">
        <v>53</v>
      </c>
      <c r="B20" s="2">
        <v>45672</v>
      </c>
      <c r="C20" s="3" t="s">
        <v>16</v>
      </c>
      <c r="D20" t="s">
        <v>17</v>
      </c>
      <c r="E20" t="s">
        <v>13</v>
      </c>
      <c r="F20" t="s">
        <v>14</v>
      </c>
      <c r="G20" s="4">
        <v>12</v>
      </c>
      <c r="H20">
        <v>2719</v>
      </c>
      <c r="I20">
        <v>5</v>
      </c>
      <c r="J20">
        <v>30996.6</v>
      </c>
    </row>
    <row r="21" spans="1:11" x14ac:dyDescent="0.25">
      <c r="A21" s="1" t="s">
        <v>54</v>
      </c>
      <c r="B21" s="2">
        <v>45690</v>
      </c>
      <c r="C21" s="3" t="s">
        <v>36</v>
      </c>
      <c r="D21" t="s">
        <v>17</v>
      </c>
      <c r="E21" t="s">
        <v>13</v>
      </c>
      <c r="F21" t="s">
        <v>14</v>
      </c>
      <c r="G21" s="4">
        <v>16</v>
      </c>
      <c r="H21">
        <v>766</v>
      </c>
      <c r="I21">
        <v>5</v>
      </c>
      <c r="J21">
        <v>11643.2</v>
      </c>
    </row>
    <row r="22" spans="1:11" x14ac:dyDescent="0.25">
      <c r="A22" s="1" t="s">
        <v>55</v>
      </c>
      <c r="B22" s="2">
        <v>45796</v>
      </c>
      <c r="C22" s="3" t="s">
        <v>16</v>
      </c>
      <c r="D22" t="s">
        <v>12</v>
      </c>
      <c r="E22" t="s">
        <v>24</v>
      </c>
      <c r="F22" t="s">
        <v>56</v>
      </c>
      <c r="G22" s="4">
        <v>17</v>
      </c>
      <c r="H22">
        <v>3666</v>
      </c>
      <c r="I22">
        <v>5</v>
      </c>
      <c r="J22">
        <v>59205.9</v>
      </c>
    </row>
    <row r="23" spans="1:11" x14ac:dyDescent="0.25">
      <c r="A23" s="1" t="s">
        <v>57</v>
      </c>
      <c r="B23" s="2">
        <v>45688</v>
      </c>
      <c r="C23" s="3" t="s">
        <v>16</v>
      </c>
      <c r="D23" t="s">
        <v>33</v>
      </c>
      <c r="E23" t="s">
        <v>38</v>
      </c>
      <c r="F23" t="s">
        <v>58</v>
      </c>
      <c r="G23" s="4">
        <v>12</v>
      </c>
      <c r="H23">
        <v>3788</v>
      </c>
      <c r="I23">
        <v>15</v>
      </c>
      <c r="J23">
        <v>38637.599999999999</v>
      </c>
    </row>
    <row r="24" spans="1:11" x14ac:dyDescent="0.25">
      <c r="A24" s="1" t="s">
        <v>59</v>
      </c>
      <c r="B24" s="2">
        <v>45808</v>
      </c>
      <c r="C24" s="3" t="s">
        <v>16</v>
      </c>
      <c r="D24" t="s">
        <v>21</v>
      </c>
      <c r="E24" t="s">
        <v>13</v>
      </c>
      <c r="F24" t="s">
        <v>60</v>
      </c>
      <c r="G24" s="4">
        <v>1</v>
      </c>
      <c r="H24">
        <v>4737</v>
      </c>
      <c r="I24">
        <v>5</v>
      </c>
      <c r="J24">
        <v>4500.1499999999996</v>
      </c>
    </row>
    <row r="25" spans="1:11" x14ac:dyDescent="0.25">
      <c r="A25" s="1" t="s">
        <v>61</v>
      </c>
      <c r="B25" s="2">
        <v>45742</v>
      </c>
      <c r="C25" s="3" t="s">
        <v>11</v>
      </c>
      <c r="D25" t="s">
        <v>17</v>
      </c>
      <c r="E25" t="s">
        <v>13</v>
      </c>
      <c r="F25" t="s">
        <v>14</v>
      </c>
      <c r="G25" s="4">
        <v>8</v>
      </c>
      <c r="H25">
        <v>752</v>
      </c>
      <c r="I25">
        <v>0</v>
      </c>
      <c r="J25">
        <v>6016</v>
      </c>
    </row>
    <row r="26" spans="1:11" x14ac:dyDescent="0.25">
      <c r="A26" s="1" t="s">
        <v>62</v>
      </c>
      <c r="B26" s="2">
        <v>45804</v>
      </c>
      <c r="C26" s="3" t="s">
        <v>36</v>
      </c>
      <c r="D26" t="s">
        <v>33</v>
      </c>
      <c r="E26" t="s">
        <v>24</v>
      </c>
      <c r="F26" t="s">
        <v>56</v>
      </c>
      <c r="G26" s="4">
        <v>16</v>
      </c>
      <c r="H26">
        <v>1955</v>
      </c>
      <c r="I26">
        <v>5</v>
      </c>
      <c r="J26">
        <v>29716</v>
      </c>
    </row>
    <row r="27" spans="1:11" x14ac:dyDescent="0.25">
      <c r="A27" s="1" t="s">
        <v>63</v>
      </c>
      <c r="B27" s="2">
        <v>45826</v>
      </c>
      <c r="C27" s="3" t="s">
        <v>36</v>
      </c>
      <c r="D27" t="s">
        <v>64</v>
      </c>
      <c r="E27" t="s">
        <v>28</v>
      </c>
      <c r="F27" t="s">
        <v>46</v>
      </c>
      <c r="G27" s="4">
        <v>7</v>
      </c>
      <c r="H27">
        <v>972</v>
      </c>
      <c r="I27">
        <v>0</v>
      </c>
      <c r="J27">
        <v>6804</v>
      </c>
    </row>
    <row r="28" spans="1:11" x14ac:dyDescent="0.25">
      <c r="A28" s="1" t="s">
        <v>65</v>
      </c>
      <c r="B28" s="2">
        <v>45673</v>
      </c>
      <c r="C28" s="3" t="s">
        <v>36</v>
      </c>
      <c r="D28" t="s">
        <v>12</v>
      </c>
      <c r="E28" t="s">
        <v>28</v>
      </c>
      <c r="F28" t="s">
        <v>46</v>
      </c>
      <c r="G28" s="4">
        <v>15</v>
      </c>
      <c r="H28">
        <v>643</v>
      </c>
      <c r="I28">
        <v>0</v>
      </c>
      <c r="J28">
        <v>9645</v>
      </c>
    </row>
    <row r="29" spans="1:11" x14ac:dyDescent="0.25">
      <c r="A29" s="1" t="s">
        <v>66</v>
      </c>
      <c r="B29" s="2">
        <v>45795</v>
      </c>
      <c r="C29" s="3" t="s">
        <v>36</v>
      </c>
      <c r="D29" t="s">
        <v>33</v>
      </c>
      <c r="E29" t="s">
        <v>38</v>
      </c>
      <c r="F29" t="s">
        <v>39</v>
      </c>
      <c r="G29" s="4">
        <v>8</v>
      </c>
      <c r="H29">
        <v>1769</v>
      </c>
      <c r="I29">
        <v>5</v>
      </c>
      <c r="J29">
        <v>13444.4</v>
      </c>
    </row>
    <row r="30" spans="1:11" x14ac:dyDescent="0.25">
      <c r="A30" s="1" t="s">
        <v>67</v>
      </c>
      <c r="B30" s="2">
        <v>45677</v>
      </c>
      <c r="C30" s="3" t="s">
        <v>36</v>
      </c>
      <c r="D30" t="s">
        <v>17</v>
      </c>
      <c r="E30" t="s">
        <v>28</v>
      </c>
      <c r="F30" t="s">
        <v>44</v>
      </c>
      <c r="G30" s="4">
        <v>9</v>
      </c>
      <c r="H30">
        <v>3989</v>
      </c>
      <c r="I30">
        <v>5</v>
      </c>
      <c r="J30">
        <v>34105.949999999997</v>
      </c>
    </row>
    <row r="31" spans="1:11" x14ac:dyDescent="0.25">
      <c r="A31" s="1" t="s">
        <v>68</v>
      </c>
      <c r="B31" s="2">
        <v>45718</v>
      </c>
      <c r="C31" s="3" t="s">
        <v>16</v>
      </c>
      <c r="D31" t="s">
        <v>37</v>
      </c>
      <c r="E31" t="s">
        <v>13</v>
      </c>
      <c r="F31" t="s">
        <v>14</v>
      </c>
      <c r="G31" s="4">
        <v>18</v>
      </c>
      <c r="H31">
        <v>320</v>
      </c>
      <c r="I31">
        <v>0</v>
      </c>
      <c r="J31">
        <v>5760</v>
      </c>
    </row>
    <row r="32" spans="1:11" x14ac:dyDescent="0.25">
      <c r="A32" s="1" t="s">
        <v>69</v>
      </c>
      <c r="B32" s="2">
        <v>45700</v>
      </c>
      <c r="C32" s="3" t="s">
        <v>36</v>
      </c>
      <c r="D32" t="s">
        <v>21</v>
      </c>
      <c r="E32" t="s">
        <v>28</v>
      </c>
      <c r="F32" t="s">
        <v>46</v>
      </c>
      <c r="G32" s="4">
        <v>7</v>
      </c>
      <c r="H32">
        <v>3485</v>
      </c>
      <c r="I32">
        <v>0</v>
      </c>
      <c r="J32">
        <v>24395</v>
      </c>
    </row>
    <row r="33" spans="1:10" x14ac:dyDescent="0.25">
      <c r="A33" s="1" t="s">
        <v>70</v>
      </c>
      <c r="B33" s="2">
        <v>45836</v>
      </c>
      <c r="C33" s="3" t="s">
        <v>36</v>
      </c>
      <c r="D33" t="s">
        <v>33</v>
      </c>
      <c r="E33" t="s">
        <v>28</v>
      </c>
      <c r="F33" t="s">
        <v>34</v>
      </c>
      <c r="G33" s="4">
        <v>15</v>
      </c>
      <c r="H33">
        <v>2536</v>
      </c>
      <c r="I33">
        <v>15</v>
      </c>
      <c r="J33">
        <v>32334</v>
      </c>
    </row>
    <row r="34" spans="1:10" x14ac:dyDescent="0.25">
      <c r="A34" s="1" t="s">
        <v>71</v>
      </c>
      <c r="B34" s="2">
        <v>45738</v>
      </c>
      <c r="C34" s="3" t="s">
        <v>11</v>
      </c>
      <c r="D34" t="s">
        <v>21</v>
      </c>
      <c r="E34" t="s">
        <v>24</v>
      </c>
      <c r="F34" t="s">
        <v>56</v>
      </c>
      <c r="G34" s="4">
        <v>7</v>
      </c>
      <c r="H34">
        <v>679</v>
      </c>
      <c r="I34">
        <v>0</v>
      </c>
      <c r="J34">
        <v>4753</v>
      </c>
    </row>
    <row r="35" spans="1:10" x14ac:dyDescent="0.25">
      <c r="A35" s="1" t="s">
        <v>72</v>
      </c>
      <c r="B35" s="2">
        <v>45705</v>
      </c>
      <c r="C35" s="3" t="s">
        <v>11</v>
      </c>
      <c r="D35" t="s">
        <v>17</v>
      </c>
      <c r="E35" t="s">
        <v>28</v>
      </c>
      <c r="F35" t="s">
        <v>44</v>
      </c>
      <c r="G35" s="4">
        <v>2</v>
      </c>
      <c r="H35">
        <v>4360</v>
      </c>
      <c r="I35">
        <v>0</v>
      </c>
      <c r="J35">
        <v>8720</v>
      </c>
    </row>
    <row r="36" spans="1:10" x14ac:dyDescent="0.25">
      <c r="A36" s="1" t="s">
        <v>73</v>
      </c>
      <c r="B36" s="2">
        <v>45806</v>
      </c>
      <c r="C36" s="3" t="s">
        <v>11</v>
      </c>
      <c r="D36" t="s">
        <v>17</v>
      </c>
      <c r="E36" t="s">
        <v>13</v>
      </c>
      <c r="F36" t="s">
        <v>22</v>
      </c>
      <c r="G36" s="4">
        <v>13</v>
      </c>
      <c r="H36">
        <v>1182</v>
      </c>
      <c r="I36">
        <v>5</v>
      </c>
      <c r="J36">
        <v>14597.7</v>
      </c>
    </row>
    <row r="37" spans="1:10" x14ac:dyDescent="0.25">
      <c r="A37" s="1" t="s">
        <v>74</v>
      </c>
      <c r="B37" s="2">
        <v>45724</v>
      </c>
      <c r="C37" s="3" t="s">
        <v>16</v>
      </c>
      <c r="D37" t="s">
        <v>12</v>
      </c>
      <c r="E37" t="s">
        <v>13</v>
      </c>
      <c r="F37" t="s">
        <v>18</v>
      </c>
      <c r="G37" s="4">
        <v>19</v>
      </c>
      <c r="H37">
        <v>4830</v>
      </c>
      <c r="I37">
        <v>10</v>
      </c>
      <c r="J37">
        <v>82593</v>
      </c>
    </row>
    <row r="38" spans="1:10" x14ac:dyDescent="0.25">
      <c r="A38" s="1" t="s">
        <v>75</v>
      </c>
      <c r="B38" s="2">
        <v>45829</v>
      </c>
      <c r="C38" s="3" t="s">
        <v>20</v>
      </c>
      <c r="D38" t="s">
        <v>37</v>
      </c>
      <c r="E38" t="s">
        <v>38</v>
      </c>
      <c r="F38" t="s">
        <v>41</v>
      </c>
      <c r="G38" s="4">
        <v>9</v>
      </c>
      <c r="H38">
        <v>3442</v>
      </c>
      <c r="I38">
        <v>5</v>
      </c>
      <c r="J38">
        <v>29429.1</v>
      </c>
    </row>
    <row r="39" spans="1:10" x14ac:dyDescent="0.25">
      <c r="A39" s="1" t="s">
        <v>76</v>
      </c>
      <c r="B39" s="2">
        <v>45676</v>
      </c>
      <c r="C39" s="3" t="s">
        <v>16</v>
      </c>
      <c r="D39" t="s">
        <v>17</v>
      </c>
      <c r="E39" t="s">
        <v>38</v>
      </c>
      <c r="F39" t="s">
        <v>39</v>
      </c>
      <c r="G39" s="4">
        <v>1</v>
      </c>
      <c r="H39">
        <v>3954</v>
      </c>
      <c r="I39">
        <v>0</v>
      </c>
      <c r="J39">
        <v>3954</v>
      </c>
    </row>
    <row r="40" spans="1:10" x14ac:dyDescent="0.25">
      <c r="A40" s="1" t="s">
        <v>77</v>
      </c>
      <c r="B40" s="2">
        <v>45752</v>
      </c>
      <c r="C40" s="3" t="s">
        <v>20</v>
      </c>
      <c r="D40" t="s">
        <v>33</v>
      </c>
      <c r="E40" t="s">
        <v>38</v>
      </c>
      <c r="F40" t="s">
        <v>41</v>
      </c>
      <c r="G40" s="4">
        <v>12</v>
      </c>
      <c r="H40">
        <v>763</v>
      </c>
      <c r="I40">
        <v>5</v>
      </c>
      <c r="J40">
        <v>8698.2000000000007</v>
      </c>
    </row>
    <row r="41" spans="1:10" x14ac:dyDescent="0.25">
      <c r="A41" s="1" t="s">
        <v>78</v>
      </c>
      <c r="B41" s="2">
        <v>45828</v>
      </c>
      <c r="C41" s="3" t="s">
        <v>20</v>
      </c>
      <c r="D41" t="s">
        <v>12</v>
      </c>
      <c r="E41" t="s">
        <v>28</v>
      </c>
      <c r="F41" t="s">
        <v>34</v>
      </c>
      <c r="G41" s="4">
        <v>20</v>
      </c>
      <c r="H41">
        <v>4533</v>
      </c>
      <c r="I41">
        <v>0</v>
      </c>
      <c r="J41">
        <v>90660</v>
      </c>
    </row>
    <row r="42" spans="1:10" x14ac:dyDescent="0.25">
      <c r="A42" s="1" t="s">
        <v>79</v>
      </c>
      <c r="B42" s="2">
        <v>45799</v>
      </c>
      <c r="C42" s="3" t="s">
        <v>16</v>
      </c>
      <c r="D42" t="s">
        <v>64</v>
      </c>
      <c r="E42" t="s">
        <v>13</v>
      </c>
      <c r="F42" t="s">
        <v>22</v>
      </c>
      <c r="G42" s="4">
        <v>9</v>
      </c>
      <c r="H42">
        <v>1145</v>
      </c>
      <c r="I42">
        <v>0</v>
      </c>
      <c r="J42">
        <v>10305</v>
      </c>
    </row>
    <row r="43" spans="1:10" x14ac:dyDescent="0.25">
      <c r="A43" s="1" t="s">
        <v>80</v>
      </c>
      <c r="B43" s="2">
        <v>45787</v>
      </c>
      <c r="C43" s="3" t="s">
        <v>36</v>
      </c>
      <c r="D43" t="s">
        <v>64</v>
      </c>
      <c r="E43" t="s">
        <v>38</v>
      </c>
      <c r="F43" t="s">
        <v>41</v>
      </c>
      <c r="G43" s="4">
        <v>11</v>
      </c>
      <c r="H43">
        <v>1867</v>
      </c>
      <c r="I43">
        <v>10</v>
      </c>
      <c r="J43">
        <v>18483.3</v>
      </c>
    </row>
    <row r="44" spans="1:10" x14ac:dyDescent="0.25">
      <c r="A44" s="1" t="s">
        <v>81</v>
      </c>
      <c r="B44" s="2">
        <v>45658</v>
      </c>
      <c r="C44" s="3" t="s">
        <v>20</v>
      </c>
      <c r="D44" t="s">
        <v>33</v>
      </c>
      <c r="E44" t="s">
        <v>13</v>
      </c>
      <c r="F44" t="s">
        <v>14</v>
      </c>
      <c r="G44" s="4">
        <v>14</v>
      </c>
      <c r="H44">
        <v>2466</v>
      </c>
      <c r="I44">
        <v>0</v>
      </c>
      <c r="J44">
        <v>34524</v>
      </c>
    </row>
    <row r="45" spans="1:10" x14ac:dyDescent="0.25">
      <c r="A45" s="1" t="s">
        <v>82</v>
      </c>
      <c r="B45" s="2">
        <v>45801</v>
      </c>
      <c r="C45" s="3" t="s">
        <v>11</v>
      </c>
      <c r="D45" t="s">
        <v>21</v>
      </c>
      <c r="E45" t="s">
        <v>38</v>
      </c>
      <c r="F45" t="s">
        <v>41</v>
      </c>
      <c r="G45" s="4">
        <v>15</v>
      </c>
      <c r="H45">
        <v>4719</v>
      </c>
      <c r="I45">
        <v>15</v>
      </c>
      <c r="J45">
        <v>60167.25</v>
      </c>
    </row>
    <row r="46" spans="1:10" x14ac:dyDescent="0.25">
      <c r="A46" s="1" t="s">
        <v>83</v>
      </c>
      <c r="B46" s="2">
        <v>45807</v>
      </c>
      <c r="C46" s="3" t="s">
        <v>16</v>
      </c>
      <c r="D46" t="s">
        <v>37</v>
      </c>
      <c r="E46" t="s">
        <v>13</v>
      </c>
      <c r="F46" t="s">
        <v>22</v>
      </c>
      <c r="G46" s="4">
        <v>18</v>
      </c>
      <c r="H46">
        <v>495</v>
      </c>
      <c r="I46">
        <v>10</v>
      </c>
      <c r="J46">
        <v>8019</v>
      </c>
    </row>
    <row r="47" spans="1:10" x14ac:dyDescent="0.25">
      <c r="A47" s="1" t="s">
        <v>84</v>
      </c>
      <c r="B47" s="2">
        <v>45749</v>
      </c>
      <c r="C47" s="3" t="s">
        <v>16</v>
      </c>
      <c r="D47" t="s">
        <v>12</v>
      </c>
      <c r="E47" t="s">
        <v>24</v>
      </c>
      <c r="F47" t="s">
        <v>31</v>
      </c>
      <c r="G47" s="4">
        <v>10</v>
      </c>
      <c r="H47">
        <v>3187</v>
      </c>
      <c r="I47">
        <v>0</v>
      </c>
      <c r="J47">
        <v>31870</v>
      </c>
    </row>
    <row r="48" spans="1:10" x14ac:dyDescent="0.25">
      <c r="A48" s="1" t="s">
        <v>85</v>
      </c>
      <c r="B48" s="2">
        <v>45816</v>
      </c>
      <c r="C48" s="3" t="s">
        <v>16</v>
      </c>
      <c r="D48" t="s">
        <v>33</v>
      </c>
      <c r="E48" t="s">
        <v>24</v>
      </c>
      <c r="F48" t="s">
        <v>31</v>
      </c>
      <c r="G48" s="4">
        <v>12</v>
      </c>
      <c r="H48">
        <v>4786</v>
      </c>
      <c r="I48">
        <v>15</v>
      </c>
      <c r="J48">
        <v>48817.2</v>
      </c>
    </row>
    <row r="49" spans="1:10" x14ac:dyDescent="0.25">
      <c r="A49" s="1" t="s">
        <v>86</v>
      </c>
      <c r="B49" s="2">
        <v>45743</v>
      </c>
      <c r="C49" s="3" t="s">
        <v>36</v>
      </c>
      <c r="D49" t="s">
        <v>12</v>
      </c>
      <c r="E49" t="s">
        <v>24</v>
      </c>
      <c r="F49" t="s">
        <v>87</v>
      </c>
      <c r="G49" s="4">
        <v>14</v>
      </c>
      <c r="H49">
        <v>403</v>
      </c>
      <c r="I49">
        <v>5</v>
      </c>
      <c r="J49">
        <v>5359.9</v>
      </c>
    </row>
    <row r="50" spans="1:10" x14ac:dyDescent="0.25">
      <c r="A50" s="1" t="s">
        <v>88</v>
      </c>
      <c r="B50" s="2">
        <v>45667</v>
      </c>
      <c r="C50" s="3" t="s">
        <v>36</v>
      </c>
      <c r="D50" t="s">
        <v>33</v>
      </c>
      <c r="E50" t="s">
        <v>24</v>
      </c>
      <c r="F50" t="s">
        <v>56</v>
      </c>
      <c r="G50" s="4">
        <v>6</v>
      </c>
      <c r="H50">
        <v>1085</v>
      </c>
      <c r="I50">
        <v>15</v>
      </c>
      <c r="J50">
        <v>5533.5</v>
      </c>
    </row>
    <row r="51" spans="1:10" x14ac:dyDescent="0.25">
      <c r="A51" s="1" t="s">
        <v>89</v>
      </c>
      <c r="B51" s="2">
        <v>45715</v>
      </c>
      <c r="C51" s="3" t="s">
        <v>11</v>
      </c>
      <c r="D51" t="s">
        <v>12</v>
      </c>
      <c r="E51" t="s">
        <v>24</v>
      </c>
      <c r="F51" t="s">
        <v>25</v>
      </c>
      <c r="G51" s="4">
        <v>12</v>
      </c>
      <c r="H51">
        <v>2700</v>
      </c>
      <c r="I51">
        <v>5</v>
      </c>
      <c r="J51">
        <v>30780</v>
      </c>
    </row>
    <row r="52" spans="1:10" x14ac:dyDescent="0.25">
      <c r="A52" s="1" t="s">
        <v>90</v>
      </c>
      <c r="B52" s="2">
        <v>45729</v>
      </c>
      <c r="C52" s="3" t="s">
        <v>20</v>
      </c>
      <c r="D52" t="s">
        <v>12</v>
      </c>
      <c r="E52" t="s">
        <v>24</v>
      </c>
      <c r="F52" t="s">
        <v>25</v>
      </c>
      <c r="G52" s="4">
        <v>11</v>
      </c>
      <c r="H52">
        <v>2482</v>
      </c>
      <c r="I52">
        <v>0</v>
      </c>
      <c r="J52">
        <v>27302</v>
      </c>
    </row>
    <row r="53" spans="1:10" x14ac:dyDescent="0.25">
      <c r="A53" s="1" t="s">
        <v>91</v>
      </c>
      <c r="B53" s="2">
        <v>45703</v>
      </c>
      <c r="C53" s="3" t="s">
        <v>20</v>
      </c>
      <c r="D53" t="s">
        <v>21</v>
      </c>
      <c r="E53" t="s">
        <v>28</v>
      </c>
      <c r="F53" t="s">
        <v>34</v>
      </c>
      <c r="G53" s="4">
        <v>1</v>
      </c>
      <c r="H53">
        <v>1144</v>
      </c>
      <c r="I53">
        <v>10</v>
      </c>
      <c r="J53">
        <v>1029.5999999999999</v>
      </c>
    </row>
    <row r="54" spans="1:10" x14ac:dyDescent="0.25">
      <c r="A54" s="1" t="s">
        <v>92</v>
      </c>
      <c r="B54" s="2">
        <v>45813</v>
      </c>
      <c r="C54" s="3" t="s">
        <v>11</v>
      </c>
      <c r="D54" t="s">
        <v>37</v>
      </c>
      <c r="E54" t="s">
        <v>13</v>
      </c>
      <c r="F54" t="s">
        <v>18</v>
      </c>
      <c r="G54" s="4">
        <v>12</v>
      </c>
      <c r="H54">
        <v>2769</v>
      </c>
      <c r="I54">
        <v>15</v>
      </c>
      <c r="J54">
        <v>28243.8</v>
      </c>
    </row>
    <row r="55" spans="1:10" x14ac:dyDescent="0.25">
      <c r="A55" s="1" t="s">
        <v>93</v>
      </c>
      <c r="B55" s="2">
        <v>45791</v>
      </c>
      <c r="C55" s="3" t="s">
        <v>16</v>
      </c>
      <c r="D55" t="s">
        <v>64</v>
      </c>
      <c r="E55" t="s">
        <v>24</v>
      </c>
      <c r="F55" t="s">
        <v>56</v>
      </c>
      <c r="G55" s="4">
        <v>2</v>
      </c>
      <c r="H55">
        <v>3772</v>
      </c>
      <c r="I55">
        <v>0</v>
      </c>
      <c r="J55">
        <v>7544</v>
      </c>
    </row>
    <row r="56" spans="1:10" x14ac:dyDescent="0.25">
      <c r="A56" s="1" t="s">
        <v>94</v>
      </c>
      <c r="B56" s="2">
        <v>45734</v>
      </c>
      <c r="C56" s="3" t="s">
        <v>20</v>
      </c>
      <c r="D56" t="s">
        <v>12</v>
      </c>
      <c r="E56" t="s">
        <v>28</v>
      </c>
      <c r="F56" t="s">
        <v>29</v>
      </c>
      <c r="G56" s="4">
        <v>11</v>
      </c>
      <c r="H56">
        <v>2771</v>
      </c>
      <c r="I56">
        <v>0</v>
      </c>
      <c r="J56">
        <v>30481</v>
      </c>
    </row>
    <row r="57" spans="1:10" x14ac:dyDescent="0.25">
      <c r="A57" s="1" t="s">
        <v>95</v>
      </c>
      <c r="B57" s="2">
        <v>45707</v>
      </c>
      <c r="C57" s="3" t="s">
        <v>36</v>
      </c>
      <c r="D57" t="s">
        <v>12</v>
      </c>
      <c r="E57" t="s">
        <v>28</v>
      </c>
      <c r="F57" t="s">
        <v>34</v>
      </c>
      <c r="G57" s="4">
        <v>13</v>
      </c>
      <c r="H57">
        <v>2622</v>
      </c>
      <c r="I57">
        <v>5</v>
      </c>
      <c r="J57">
        <v>32381.7</v>
      </c>
    </row>
    <row r="58" spans="1:10" x14ac:dyDescent="0.25">
      <c r="A58" s="1" t="s">
        <v>96</v>
      </c>
      <c r="B58" s="2">
        <v>45761</v>
      </c>
      <c r="C58" s="3" t="s">
        <v>11</v>
      </c>
      <c r="D58" t="s">
        <v>64</v>
      </c>
      <c r="E58" t="s">
        <v>28</v>
      </c>
      <c r="F58" t="s">
        <v>44</v>
      </c>
      <c r="G58" s="4">
        <v>20</v>
      </c>
      <c r="H58">
        <v>4862</v>
      </c>
      <c r="I58">
        <v>10</v>
      </c>
      <c r="J58">
        <v>87516</v>
      </c>
    </row>
    <row r="59" spans="1:10" x14ac:dyDescent="0.25">
      <c r="A59" s="1" t="s">
        <v>97</v>
      </c>
      <c r="B59" s="2">
        <v>45777</v>
      </c>
      <c r="C59" s="3" t="s">
        <v>36</v>
      </c>
      <c r="D59" t="s">
        <v>37</v>
      </c>
      <c r="E59" t="s">
        <v>38</v>
      </c>
      <c r="F59" t="s">
        <v>41</v>
      </c>
      <c r="G59" s="4">
        <v>14</v>
      </c>
      <c r="H59">
        <v>4951</v>
      </c>
      <c r="I59">
        <v>10</v>
      </c>
      <c r="J59">
        <v>62382.6</v>
      </c>
    </row>
    <row r="60" spans="1:10" x14ac:dyDescent="0.25">
      <c r="A60" s="1" t="s">
        <v>98</v>
      </c>
      <c r="B60" s="2">
        <v>45789</v>
      </c>
      <c r="C60" s="3" t="s">
        <v>20</v>
      </c>
      <c r="D60" t="s">
        <v>21</v>
      </c>
      <c r="E60" t="s">
        <v>24</v>
      </c>
      <c r="F60" t="s">
        <v>25</v>
      </c>
      <c r="G60" s="4">
        <v>6</v>
      </c>
      <c r="H60">
        <v>894</v>
      </c>
      <c r="I60">
        <v>10</v>
      </c>
      <c r="J60">
        <v>4827.6000000000004</v>
      </c>
    </row>
    <row r="61" spans="1:10" x14ac:dyDescent="0.25">
      <c r="A61" s="1" t="s">
        <v>99</v>
      </c>
      <c r="B61" s="2">
        <v>45664</v>
      </c>
      <c r="C61" s="3" t="s">
        <v>11</v>
      </c>
      <c r="D61" t="s">
        <v>33</v>
      </c>
      <c r="E61" t="s">
        <v>24</v>
      </c>
      <c r="F61" t="s">
        <v>56</v>
      </c>
      <c r="G61" s="4">
        <v>8</v>
      </c>
      <c r="H61">
        <v>1831</v>
      </c>
      <c r="I61">
        <v>5</v>
      </c>
      <c r="J61">
        <v>13915.6</v>
      </c>
    </row>
    <row r="62" spans="1:10" x14ac:dyDescent="0.25">
      <c r="A62" s="1" t="s">
        <v>100</v>
      </c>
      <c r="B62" s="2">
        <v>45836</v>
      </c>
      <c r="C62" s="3" t="s">
        <v>36</v>
      </c>
      <c r="D62" t="s">
        <v>37</v>
      </c>
      <c r="E62" t="s">
        <v>28</v>
      </c>
      <c r="F62" t="s">
        <v>29</v>
      </c>
      <c r="G62" s="4">
        <v>15</v>
      </c>
      <c r="H62">
        <v>3595</v>
      </c>
      <c r="I62">
        <v>5</v>
      </c>
      <c r="J62">
        <v>51228.75</v>
      </c>
    </row>
    <row r="63" spans="1:10" x14ac:dyDescent="0.25">
      <c r="A63" s="1" t="s">
        <v>101</v>
      </c>
      <c r="B63" s="2">
        <v>45766</v>
      </c>
      <c r="C63" s="3" t="s">
        <v>16</v>
      </c>
      <c r="D63" t="s">
        <v>33</v>
      </c>
      <c r="E63" t="s">
        <v>28</v>
      </c>
      <c r="F63" t="s">
        <v>44</v>
      </c>
      <c r="G63" s="4">
        <v>5</v>
      </c>
      <c r="H63">
        <v>245</v>
      </c>
      <c r="I63">
        <v>0</v>
      </c>
      <c r="J63">
        <v>1225</v>
      </c>
    </row>
    <row r="64" spans="1:10" x14ac:dyDescent="0.25">
      <c r="A64" s="1" t="s">
        <v>102</v>
      </c>
      <c r="B64" s="2">
        <v>45774</v>
      </c>
      <c r="C64" s="3" t="s">
        <v>16</v>
      </c>
      <c r="D64" t="s">
        <v>37</v>
      </c>
      <c r="E64" t="s">
        <v>28</v>
      </c>
      <c r="F64" t="s">
        <v>29</v>
      </c>
      <c r="G64" s="4">
        <v>18</v>
      </c>
      <c r="H64">
        <v>2241</v>
      </c>
      <c r="I64">
        <v>0</v>
      </c>
      <c r="J64">
        <v>40338</v>
      </c>
    </row>
    <row r="65" spans="1:10" x14ac:dyDescent="0.25">
      <c r="A65" s="1" t="s">
        <v>103</v>
      </c>
      <c r="B65" s="2">
        <v>45798</v>
      </c>
      <c r="C65" s="3" t="s">
        <v>36</v>
      </c>
      <c r="D65" t="s">
        <v>33</v>
      </c>
      <c r="E65" t="s">
        <v>38</v>
      </c>
      <c r="F65" t="s">
        <v>58</v>
      </c>
      <c r="G65" s="4">
        <v>20</v>
      </c>
      <c r="H65">
        <v>4335</v>
      </c>
      <c r="I65">
        <v>15</v>
      </c>
      <c r="J65">
        <v>73695</v>
      </c>
    </row>
    <row r="66" spans="1:10" x14ac:dyDescent="0.25">
      <c r="A66" s="1" t="s">
        <v>104</v>
      </c>
      <c r="B66" s="2">
        <v>45791</v>
      </c>
      <c r="C66" s="3" t="s">
        <v>36</v>
      </c>
      <c r="D66" t="s">
        <v>12</v>
      </c>
      <c r="E66" t="s">
        <v>28</v>
      </c>
      <c r="F66" t="s">
        <v>46</v>
      </c>
      <c r="G66" s="4">
        <v>9</v>
      </c>
      <c r="H66">
        <v>2225</v>
      </c>
      <c r="I66">
        <v>10</v>
      </c>
      <c r="J66">
        <v>18022.5</v>
      </c>
    </row>
    <row r="67" spans="1:10" x14ac:dyDescent="0.25">
      <c r="A67" s="1" t="s">
        <v>105</v>
      </c>
      <c r="B67" s="2">
        <v>45718</v>
      </c>
      <c r="C67" s="3" t="s">
        <v>20</v>
      </c>
      <c r="D67" t="s">
        <v>64</v>
      </c>
      <c r="E67" t="s">
        <v>24</v>
      </c>
      <c r="F67" t="s">
        <v>56</v>
      </c>
      <c r="G67" s="4">
        <v>15</v>
      </c>
      <c r="H67">
        <v>834</v>
      </c>
      <c r="I67">
        <v>10</v>
      </c>
      <c r="J67">
        <v>11259</v>
      </c>
    </row>
    <row r="68" spans="1:10" x14ac:dyDescent="0.25">
      <c r="A68" s="1" t="s">
        <v>106</v>
      </c>
      <c r="B68" s="2">
        <v>45756</v>
      </c>
      <c r="C68" s="3" t="s">
        <v>16</v>
      </c>
      <c r="D68" t="s">
        <v>12</v>
      </c>
      <c r="E68" t="s">
        <v>38</v>
      </c>
      <c r="F68" t="s">
        <v>39</v>
      </c>
      <c r="G68" s="4">
        <v>5</v>
      </c>
      <c r="H68">
        <v>1435</v>
      </c>
      <c r="I68">
        <v>5</v>
      </c>
      <c r="J68">
        <v>6816.25</v>
      </c>
    </row>
    <row r="69" spans="1:10" x14ac:dyDescent="0.25">
      <c r="A69" s="1" t="s">
        <v>107</v>
      </c>
      <c r="B69" s="2">
        <v>45796</v>
      </c>
      <c r="C69" s="3" t="s">
        <v>36</v>
      </c>
      <c r="D69" t="s">
        <v>37</v>
      </c>
      <c r="E69" t="s">
        <v>24</v>
      </c>
      <c r="F69" t="s">
        <v>31</v>
      </c>
      <c r="G69" s="4">
        <v>14</v>
      </c>
      <c r="H69">
        <v>3539</v>
      </c>
      <c r="I69">
        <v>10</v>
      </c>
      <c r="J69">
        <v>44591.4</v>
      </c>
    </row>
    <row r="70" spans="1:10" x14ac:dyDescent="0.25">
      <c r="A70" s="1" t="s">
        <v>108</v>
      </c>
      <c r="B70" s="2">
        <v>45805</v>
      </c>
      <c r="C70" s="3" t="s">
        <v>36</v>
      </c>
      <c r="D70" t="s">
        <v>37</v>
      </c>
      <c r="E70" t="s">
        <v>13</v>
      </c>
      <c r="F70" t="s">
        <v>22</v>
      </c>
      <c r="G70" s="4">
        <v>14</v>
      </c>
      <c r="H70">
        <v>3390</v>
      </c>
      <c r="I70">
        <v>0</v>
      </c>
      <c r="J70">
        <v>47460</v>
      </c>
    </row>
    <row r="71" spans="1:10" x14ac:dyDescent="0.25">
      <c r="A71" s="1" t="s">
        <v>109</v>
      </c>
      <c r="B71" s="2">
        <v>45795</v>
      </c>
      <c r="C71" s="3" t="s">
        <v>16</v>
      </c>
      <c r="D71" t="s">
        <v>37</v>
      </c>
      <c r="E71" t="s">
        <v>13</v>
      </c>
      <c r="F71" t="s">
        <v>60</v>
      </c>
      <c r="G71" s="4">
        <v>10</v>
      </c>
      <c r="H71">
        <v>3394</v>
      </c>
      <c r="I71">
        <v>15</v>
      </c>
      <c r="J71">
        <v>28849</v>
      </c>
    </row>
    <row r="72" spans="1:10" x14ac:dyDescent="0.25">
      <c r="A72" s="1" t="s">
        <v>110</v>
      </c>
      <c r="B72" s="2">
        <v>45757</v>
      </c>
      <c r="C72" s="3" t="s">
        <v>20</v>
      </c>
      <c r="D72" t="s">
        <v>12</v>
      </c>
      <c r="E72" t="s">
        <v>24</v>
      </c>
      <c r="F72" t="s">
        <v>56</v>
      </c>
      <c r="G72" s="4">
        <v>14</v>
      </c>
      <c r="H72">
        <v>4178</v>
      </c>
      <c r="I72">
        <v>0</v>
      </c>
      <c r="J72">
        <v>58492</v>
      </c>
    </row>
    <row r="73" spans="1:10" x14ac:dyDescent="0.25">
      <c r="A73" s="1" t="s">
        <v>111</v>
      </c>
      <c r="B73" s="2">
        <v>45758</v>
      </c>
      <c r="C73" s="3" t="s">
        <v>11</v>
      </c>
      <c r="D73" t="s">
        <v>21</v>
      </c>
      <c r="E73" t="s">
        <v>28</v>
      </c>
      <c r="F73" t="s">
        <v>44</v>
      </c>
      <c r="G73" s="4">
        <v>15</v>
      </c>
      <c r="H73">
        <v>1245</v>
      </c>
      <c r="I73">
        <v>0</v>
      </c>
      <c r="J73">
        <v>18675</v>
      </c>
    </row>
    <row r="74" spans="1:10" x14ac:dyDescent="0.25">
      <c r="A74" s="1" t="s">
        <v>112</v>
      </c>
      <c r="B74" s="2">
        <v>45724</v>
      </c>
      <c r="C74" s="3" t="s">
        <v>36</v>
      </c>
      <c r="D74" t="s">
        <v>64</v>
      </c>
      <c r="E74" t="s">
        <v>28</v>
      </c>
      <c r="F74" t="s">
        <v>44</v>
      </c>
      <c r="G74" s="4">
        <v>15</v>
      </c>
      <c r="H74">
        <v>1688</v>
      </c>
      <c r="I74">
        <v>0</v>
      </c>
      <c r="J74">
        <v>25320</v>
      </c>
    </row>
    <row r="75" spans="1:10" x14ac:dyDescent="0.25">
      <c r="A75" s="1" t="s">
        <v>113</v>
      </c>
      <c r="B75" s="2">
        <v>45729</v>
      </c>
      <c r="C75" s="3" t="s">
        <v>36</v>
      </c>
      <c r="D75" t="s">
        <v>64</v>
      </c>
      <c r="E75" t="s">
        <v>24</v>
      </c>
      <c r="F75" t="s">
        <v>25</v>
      </c>
      <c r="G75" s="4">
        <v>11</v>
      </c>
      <c r="H75">
        <v>2964</v>
      </c>
      <c r="I75">
        <v>15</v>
      </c>
      <c r="J75">
        <v>27713.4</v>
      </c>
    </row>
    <row r="76" spans="1:10" x14ac:dyDescent="0.25">
      <c r="A76" s="1" t="s">
        <v>114</v>
      </c>
      <c r="B76" s="2">
        <v>45747</v>
      </c>
      <c r="C76" s="3" t="s">
        <v>16</v>
      </c>
      <c r="D76" t="s">
        <v>12</v>
      </c>
      <c r="E76" t="s">
        <v>13</v>
      </c>
      <c r="F76" t="s">
        <v>18</v>
      </c>
      <c r="G76" s="4">
        <v>1</v>
      </c>
      <c r="H76">
        <v>4618</v>
      </c>
      <c r="I76">
        <v>0</v>
      </c>
      <c r="J76">
        <v>4618</v>
      </c>
    </row>
    <row r="77" spans="1:10" x14ac:dyDescent="0.25">
      <c r="A77" s="1" t="s">
        <v>115</v>
      </c>
      <c r="B77" s="2">
        <v>45663</v>
      </c>
      <c r="C77" s="3" t="s">
        <v>16</v>
      </c>
      <c r="D77" t="s">
        <v>33</v>
      </c>
      <c r="E77" t="s">
        <v>13</v>
      </c>
      <c r="F77" t="s">
        <v>14</v>
      </c>
      <c r="G77" s="4">
        <v>1</v>
      </c>
      <c r="H77">
        <v>2225</v>
      </c>
      <c r="I77">
        <v>5</v>
      </c>
      <c r="J77">
        <v>2113.75</v>
      </c>
    </row>
    <row r="78" spans="1:10" x14ac:dyDescent="0.25">
      <c r="A78" s="1" t="s">
        <v>116</v>
      </c>
      <c r="B78" s="2">
        <v>45777</v>
      </c>
      <c r="C78" s="3" t="s">
        <v>20</v>
      </c>
      <c r="D78" t="s">
        <v>64</v>
      </c>
      <c r="E78" t="s">
        <v>24</v>
      </c>
      <c r="F78" t="s">
        <v>25</v>
      </c>
      <c r="G78" s="4">
        <v>4</v>
      </c>
      <c r="H78">
        <v>4820</v>
      </c>
      <c r="I78">
        <v>5</v>
      </c>
      <c r="J78">
        <v>18316</v>
      </c>
    </row>
    <row r="79" spans="1:10" x14ac:dyDescent="0.25">
      <c r="A79" s="1" t="s">
        <v>117</v>
      </c>
      <c r="B79" s="2">
        <v>45806</v>
      </c>
      <c r="C79" s="3" t="s">
        <v>11</v>
      </c>
      <c r="D79" t="s">
        <v>64</v>
      </c>
      <c r="E79" t="s">
        <v>24</v>
      </c>
      <c r="F79" t="s">
        <v>31</v>
      </c>
      <c r="G79" s="4">
        <v>6</v>
      </c>
      <c r="H79">
        <v>2748</v>
      </c>
      <c r="I79">
        <v>0</v>
      </c>
      <c r="J79">
        <v>16488</v>
      </c>
    </row>
    <row r="80" spans="1:10" x14ac:dyDescent="0.25">
      <c r="A80" s="1" t="s">
        <v>118</v>
      </c>
      <c r="B80" s="2">
        <v>45684</v>
      </c>
      <c r="C80" s="3" t="s">
        <v>20</v>
      </c>
      <c r="D80" t="s">
        <v>12</v>
      </c>
      <c r="E80" t="s">
        <v>28</v>
      </c>
      <c r="F80" t="s">
        <v>46</v>
      </c>
      <c r="G80" s="4">
        <v>7</v>
      </c>
      <c r="H80">
        <v>822</v>
      </c>
      <c r="I80">
        <v>5</v>
      </c>
      <c r="J80">
        <v>5466.3</v>
      </c>
    </row>
    <row r="81" spans="1:10" x14ac:dyDescent="0.25">
      <c r="A81" s="1" t="s">
        <v>119</v>
      </c>
      <c r="B81" s="2">
        <v>45827</v>
      </c>
      <c r="C81" s="3" t="s">
        <v>20</v>
      </c>
      <c r="D81" t="s">
        <v>21</v>
      </c>
      <c r="E81" t="s">
        <v>13</v>
      </c>
      <c r="F81" t="s">
        <v>14</v>
      </c>
      <c r="G81" s="4">
        <v>12</v>
      </c>
      <c r="H81">
        <v>4564</v>
      </c>
      <c r="I81">
        <v>15</v>
      </c>
      <c r="J81">
        <v>46552.800000000003</v>
      </c>
    </row>
    <row r="82" spans="1:10" x14ac:dyDescent="0.25">
      <c r="A82" s="1" t="s">
        <v>120</v>
      </c>
      <c r="B82" s="2">
        <v>45768</v>
      </c>
      <c r="C82" s="3" t="s">
        <v>20</v>
      </c>
      <c r="D82" t="s">
        <v>12</v>
      </c>
      <c r="E82" t="s">
        <v>38</v>
      </c>
      <c r="F82" t="s">
        <v>39</v>
      </c>
      <c r="G82" s="4">
        <v>14</v>
      </c>
      <c r="H82">
        <v>4215</v>
      </c>
      <c r="I82">
        <v>0</v>
      </c>
      <c r="J82">
        <v>59010</v>
      </c>
    </row>
    <row r="83" spans="1:10" x14ac:dyDescent="0.25">
      <c r="A83" s="1" t="s">
        <v>121</v>
      </c>
      <c r="B83" s="2">
        <v>45815</v>
      </c>
      <c r="C83" s="3" t="s">
        <v>36</v>
      </c>
      <c r="D83" t="s">
        <v>37</v>
      </c>
      <c r="E83" t="s">
        <v>28</v>
      </c>
      <c r="F83" t="s">
        <v>44</v>
      </c>
      <c r="G83" s="4">
        <v>14</v>
      </c>
      <c r="H83">
        <v>1642</v>
      </c>
      <c r="I83">
        <v>10</v>
      </c>
      <c r="J83">
        <v>20689.2</v>
      </c>
    </row>
    <row r="84" spans="1:10" x14ac:dyDescent="0.25">
      <c r="A84" s="1" t="s">
        <v>122</v>
      </c>
      <c r="B84" s="2">
        <v>45729</v>
      </c>
      <c r="C84" s="3" t="s">
        <v>36</v>
      </c>
      <c r="D84" t="s">
        <v>33</v>
      </c>
      <c r="E84" t="s">
        <v>28</v>
      </c>
      <c r="F84" t="s">
        <v>34</v>
      </c>
      <c r="G84" s="4">
        <v>11</v>
      </c>
      <c r="H84">
        <v>2211</v>
      </c>
      <c r="I84">
        <v>0</v>
      </c>
      <c r="J84">
        <v>24321</v>
      </c>
    </row>
    <row r="85" spans="1:10" x14ac:dyDescent="0.25">
      <c r="A85" s="1" t="s">
        <v>123</v>
      </c>
      <c r="B85" s="2">
        <v>45741</v>
      </c>
      <c r="C85" s="3" t="s">
        <v>16</v>
      </c>
      <c r="D85" t="s">
        <v>37</v>
      </c>
      <c r="E85" t="s">
        <v>28</v>
      </c>
      <c r="F85" t="s">
        <v>46</v>
      </c>
      <c r="G85" s="4">
        <v>11</v>
      </c>
      <c r="H85">
        <v>435</v>
      </c>
      <c r="I85">
        <v>15</v>
      </c>
      <c r="J85">
        <v>4067.25</v>
      </c>
    </row>
    <row r="86" spans="1:10" x14ac:dyDescent="0.25">
      <c r="A86" s="1" t="s">
        <v>124</v>
      </c>
      <c r="B86" s="2">
        <v>45810</v>
      </c>
      <c r="C86" s="3" t="s">
        <v>20</v>
      </c>
      <c r="D86" t="s">
        <v>17</v>
      </c>
      <c r="E86" t="s">
        <v>24</v>
      </c>
      <c r="F86" t="s">
        <v>56</v>
      </c>
      <c r="G86" s="4">
        <v>9</v>
      </c>
      <c r="H86">
        <v>2988</v>
      </c>
      <c r="I86">
        <v>10</v>
      </c>
      <c r="J86">
        <v>24202.799999999999</v>
      </c>
    </row>
    <row r="87" spans="1:10" x14ac:dyDescent="0.25">
      <c r="A87" s="1" t="s">
        <v>125</v>
      </c>
      <c r="B87" s="2">
        <v>45783</v>
      </c>
      <c r="C87" s="3" t="s">
        <v>16</v>
      </c>
      <c r="D87" t="s">
        <v>12</v>
      </c>
      <c r="E87" t="s">
        <v>13</v>
      </c>
      <c r="F87" t="s">
        <v>22</v>
      </c>
      <c r="G87" s="4">
        <v>3</v>
      </c>
      <c r="H87">
        <v>2177</v>
      </c>
      <c r="I87">
        <v>15</v>
      </c>
      <c r="J87">
        <v>5551.35</v>
      </c>
    </row>
    <row r="88" spans="1:10" x14ac:dyDescent="0.25">
      <c r="A88" s="1" t="s">
        <v>126</v>
      </c>
      <c r="B88" s="2">
        <v>45733</v>
      </c>
      <c r="C88" s="3" t="s">
        <v>16</v>
      </c>
      <c r="D88" t="s">
        <v>37</v>
      </c>
      <c r="E88" t="s">
        <v>28</v>
      </c>
      <c r="F88" t="s">
        <v>46</v>
      </c>
      <c r="G88" s="4">
        <v>15</v>
      </c>
      <c r="H88">
        <v>341</v>
      </c>
      <c r="I88">
        <v>0</v>
      </c>
      <c r="J88">
        <v>5115</v>
      </c>
    </row>
    <row r="89" spans="1:10" x14ac:dyDescent="0.25">
      <c r="A89" s="1" t="s">
        <v>127</v>
      </c>
      <c r="B89" s="2">
        <v>45799</v>
      </c>
      <c r="C89" s="3" t="s">
        <v>20</v>
      </c>
      <c r="D89" t="s">
        <v>37</v>
      </c>
      <c r="E89" t="s">
        <v>24</v>
      </c>
      <c r="F89" t="s">
        <v>56</v>
      </c>
      <c r="G89" s="4">
        <v>19</v>
      </c>
      <c r="H89">
        <v>3223</v>
      </c>
      <c r="I89">
        <v>15</v>
      </c>
      <c r="J89">
        <v>52051.45</v>
      </c>
    </row>
    <row r="90" spans="1:10" x14ac:dyDescent="0.25">
      <c r="A90" s="1" t="s">
        <v>128</v>
      </c>
      <c r="B90" s="2">
        <v>45722</v>
      </c>
      <c r="C90" s="3" t="s">
        <v>16</v>
      </c>
      <c r="D90" t="s">
        <v>21</v>
      </c>
      <c r="E90" t="s">
        <v>38</v>
      </c>
      <c r="F90" t="s">
        <v>50</v>
      </c>
      <c r="G90" s="4">
        <v>15</v>
      </c>
      <c r="H90">
        <v>2419</v>
      </c>
      <c r="I90">
        <v>10</v>
      </c>
      <c r="J90">
        <v>32656.5</v>
      </c>
    </row>
    <row r="91" spans="1:10" x14ac:dyDescent="0.25">
      <c r="A91" s="1" t="s">
        <v>129</v>
      </c>
      <c r="B91" s="2">
        <v>45707</v>
      </c>
      <c r="C91" s="3" t="s">
        <v>16</v>
      </c>
      <c r="D91" t="s">
        <v>12</v>
      </c>
      <c r="E91" t="s">
        <v>24</v>
      </c>
      <c r="F91" t="s">
        <v>56</v>
      </c>
      <c r="G91" s="4">
        <v>4</v>
      </c>
      <c r="H91">
        <v>4589</v>
      </c>
      <c r="I91">
        <v>5</v>
      </c>
      <c r="J91">
        <v>17438.2</v>
      </c>
    </row>
    <row r="92" spans="1:10" x14ac:dyDescent="0.25">
      <c r="A92" s="1" t="s">
        <v>130</v>
      </c>
      <c r="B92" s="2">
        <v>45683</v>
      </c>
      <c r="C92" s="3" t="s">
        <v>16</v>
      </c>
      <c r="D92" t="s">
        <v>64</v>
      </c>
      <c r="E92" t="s">
        <v>28</v>
      </c>
      <c r="F92" t="s">
        <v>34</v>
      </c>
      <c r="G92" s="4">
        <v>19</v>
      </c>
      <c r="H92">
        <v>4497</v>
      </c>
      <c r="I92">
        <v>10</v>
      </c>
      <c r="J92">
        <v>76898.7</v>
      </c>
    </row>
    <row r="93" spans="1:10" x14ac:dyDescent="0.25">
      <c r="A93" s="1" t="s">
        <v>131</v>
      </c>
      <c r="B93" s="2">
        <v>45794</v>
      </c>
      <c r="C93" s="3" t="s">
        <v>16</v>
      </c>
      <c r="D93" t="s">
        <v>64</v>
      </c>
      <c r="E93" t="s">
        <v>24</v>
      </c>
      <c r="F93" t="s">
        <v>56</v>
      </c>
      <c r="G93" s="4">
        <v>6</v>
      </c>
      <c r="H93">
        <v>2676</v>
      </c>
      <c r="I93">
        <v>0</v>
      </c>
      <c r="J93">
        <v>16056</v>
      </c>
    </row>
    <row r="94" spans="1:10" x14ac:dyDescent="0.25">
      <c r="A94" s="1" t="s">
        <v>132</v>
      </c>
      <c r="B94" s="2">
        <v>45821</v>
      </c>
      <c r="C94" s="3" t="s">
        <v>36</v>
      </c>
      <c r="D94" t="s">
        <v>21</v>
      </c>
      <c r="E94" t="s">
        <v>13</v>
      </c>
      <c r="F94" t="s">
        <v>14</v>
      </c>
      <c r="G94" s="4">
        <v>18</v>
      </c>
      <c r="H94">
        <v>2593</v>
      </c>
      <c r="I94">
        <v>5</v>
      </c>
      <c r="J94">
        <v>44340.3</v>
      </c>
    </row>
    <row r="95" spans="1:10" x14ac:dyDescent="0.25">
      <c r="A95" s="1" t="s">
        <v>133</v>
      </c>
      <c r="B95" s="2">
        <v>45745</v>
      </c>
      <c r="C95" s="3" t="s">
        <v>16</v>
      </c>
      <c r="D95" t="s">
        <v>21</v>
      </c>
      <c r="E95" t="s">
        <v>13</v>
      </c>
      <c r="F95" t="s">
        <v>60</v>
      </c>
      <c r="G95" s="4">
        <v>16</v>
      </c>
      <c r="H95">
        <v>4121</v>
      </c>
      <c r="I95">
        <v>15</v>
      </c>
      <c r="J95">
        <v>56045.599999999999</v>
      </c>
    </row>
    <row r="96" spans="1:10" x14ac:dyDescent="0.25">
      <c r="A96" s="1" t="s">
        <v>134</v>
      </c>
      <c r="B96" s="2">
        <v>45783</v>
      </c>
      <c r="C96" s="3" t="s">
        <v>11</v>
      </c>
      <c r="D96" t="s">
        <v>17</v>
      </c>
      <c r="E96" t="s">
        <v>38</v>
      </c>
      <c r="F96" t="s">
        <v>58</v>
      </c>
      <c r="G96" s="4">
        <v>4</v>
      </c>
      <c r="H96">
        <v>735</v>
      </c>
      <c r="I96">
        <v>15</v>
      </c>
      <c r="J96">
        <v>2499</v>
      </c>
    </row>
    <row r="97" spans="1:10" x14ac:dyDescent="0.25">
      <c r="A97" s="1" t="s">
        <v>135</v>
      </c>
      <c r="B97" s="2">
        <v>45679</v>
      </c>
      <c r="C97" s="3" t="s">
        <v>16</v>
      </c>
      <c r="D97" t="s">
        <v>21</v>
      </c>
      <c r="E97" t="s">
        <v>13</v>
      </c>
      <c r="F97" t="s">
        <v>22</v>
      </c>
      <c r="G97" s="4">
        <v>5</v>
      </c>
      <c r="H97">
        <v>4810</v>
      </c>
      <c r="I97">
        <v>10</v>
      </c>
      <c r="J97">
        <v>21645</v>
      </c>
    </row>
    <row r="98" spans="1:10" x14ac:dyDescent="0.25">
      <c r="A98" s="1" t="s">
        <v>136</v>
      </c>
      <c r="B98" s="2">
        <v>45771</v>
      </c>
      <c r="C98" s="3" t="s">
        <v>20</v>
      </c>
      <c r="D98" t="s">
        <v>17</v>
      </c>
      <c r="E98" t="s">
        <v>28</v>
      </c>
      <c r="F98" t="s">
        <v>44</v>
      </c>
      <c r="G98" s="4">
        <v>17</v>
      </c>
      <c r="H98">
        <v>3316</v>
      </c>
      <c r="I98">
        <v>15</v>
      </c>
      <c r="J98">
        <v>47916.2</v>
      </c>
    </row>
    <row r="99" spans="1:10" x14ac:dyDescent="0.25">
      <c r="A99" s="1" t="s">
        <v>137</v>
      </c>
      <c r="B99" s="2">
        <v>45711</v>
      </c>
      <c r="C99" s="3" t="s">
        <v>16</v>
      </c>
      <c r="D99" t="s">
        <v>64</v>
      </c>
      <c r="E99" t="s">
        <v>28</v>
      </c>
      <c r="F99" t="s">
        <v>34</v>
      </c>
      <c r="G99" s="4">
        <v>19</v>
      </c>
      <c r="H99">
        <v>693</v>
      </c>
      <c r="I99">
        <v>0</v>
      </c>
      <c r="J99">
        <v>13167</v>
      </c>
    </row>
    <row r="100" spans="1:10" x14ac:dyDescent="0.25">
      <c r="A100" s="1" t="s">
        <v>138</v>
      </c>
      <c r="B100" s="2">
        <v>45698</v>
      </c>
      <c r="C100" s="3" t="s">
        <v>11</v>
      </c>
      <c r="D100" t="s">
        <v>37</v>
      </c>
      <c r="E100" t="s">
        <v>13</v>
      </c>
      <c r="F100" t="s">
        <v>22</v>
      </c>
      <c r="G100" s="4">
        <v>8</v>
      </c>
      <c r="H100">
        <v>1623</v>
      </c>
      <c r="I100">
        <v>0</v>
      </c>
      <c r="J100">
        <v>12984</v>
      </c>
    </row>
    <row r="101" spans="1:10" x14ac:dyDescent="0.25">
      <c r="A101" s="1" t="s">
        <v>139</v>
      </c>
      <c r="B101" s="2">
        <v>45731</v>
      </c>
      <c r="C101" s="3" t="s">
        <v>20</v>
      </c>
      <c r="D101" t="s">
        <v>12</v>
      </c>
      <c r="E101" t="s">
        <v>28</v>
      </c>
      <c r="F101" t="s">
        <v>46</v>
      </c>
      <c r="G101" s="4">
        <v>10</v>
      </c>
      <c r="H101">
        <v>467</v>
      </c>
      <c r="I101">
        <v>5</v>
      </c>
      <c r="J101">
        <v>4436.5</v>
      </c>
    </row>
    <row r="102" spans="1:10" x14ac:dyDescent="0.25">
      <c r="A102" s="1" t="s">
        <v>140</v>
      </c>
      <c r="B102" s="2">
        <v>45766</v>
      </c>
      <c r="C102" s="3" t="s">
        <v>11</v>
      </c>
      <c r="D102" t="s">
        <v>17</v>
      </c>
      <c r="E102" t="s">
        <v>28</v>
      </c>
      <c r="F102" t="s">
        <v>29</v>
      </c>
      <c r="G102" s="4">
        <v>8</v>
      </c>
      <c r="H102">
        <v>2367</v>
      </c>
      <c r="I102">
        <v>5</v>
      </c>
      <c r="J102">
        <v>17989.2</v>
      </c>
    </row>
    <row r="103" spans="1:10" x14ac:dyDescent="0.25">
      <c r="A103" s="1" t="s">
        <v>141</v>
      </c>
      <c r="B103" s="2">
        <v>45673</v>
      </c>
      <c r="C103" s="3" t="s">
        <v>16</v>
      </c>
      <c r="D103" t="s">
        <v>64</v>
      </c>
      <c r="E103" t="s">
        <v>24</v>
      </c>
      <c r="F103" t="s">
        <v>87</v>
      </c>
      <c r="G103" s="4">
        <v>9</v>
      </c>
      <c r="H103">
        <v>1365</v>
      </c>
      <c r="I103">
        <v>0</v>
      </c>
      <c r="J103">
        <v>12285</v>
      </c>
    </row>
    <row r="104" spans="1:10" x14ac:dyDescent="0.25">
      <c r="A104" s="1" t="s">
        <v>142</v>
      </c>
      <c r="B104" s="2">
        <v>45837</v>
      </c>
      <c r="C104" s="3" t="s">
        <v>36</v>
      </c>
      <c r="D104" t="s">
        <v>64</v>
      </c>
      <c r="E104" t="s">
        <v>38</v>
      </c>
      <c r="F104" t="s">
        <v>58</v>
      </c>
      <c r="G104" s="4">
        <v>4</v>
      </c>
      <c r="H104">
        <v>4039</v>
      </c>
      <c r="I104">
        <v>10</v>
      </c>
      <c r="J104">
        <v>14540.4</v>
      </c>
    </row>
    <row r="105" spans="1:10" x14ac:dyDescent="0.25">
      <c r="A105" s="1" t="s">
        <v>143</v>
      </c>
      <c r="B105" s="2">
        <v>45740</v>
      </c>
      <c r="C105" s="3" t="s">
        <v>20</v>
      </c>
      <c r="D105" t="s">
        <v>21</v>
      </c>
      <c r="E105" t="s">
        <v>28</v>
      </c>
      <c r="F105" t="s">
        <v>46</v>
      </c>
      <c r="G105" s="4">
        <v>3</v>
      </c>
      <c r="H105">
        <v>526</v>
      </c>
      <c r="I105">
        <v>15</v>
      </c>
      <c r="J105">
        <v>1341.3</v>
      </c>
    </row>
    <row r="106" spans="1:10" x14ac:dyDescent="0.25">
      <c r="A106" s="1" t="s">
        <v>144</v>
      </c>
      <c r="B106" s="2">
        <v>45805</v>
      </c>
      <c r="C106" s="3" t="s">
        <v>11</v>
      </c>
      <c r="D106" t="s">
        <v>33</v>
      </c>
      <c r="E106" t="s">
        <v>13</v>
      </c>
      <c r="F106" t="s">
        <v>22</v>
      </c>
      <c r="G106" s="4">
        <v>19</v>
      </c>
      <c r="H106">
        <v>369</v>
      </c>
      <c r="I106">
        <v>10</v>
      </c>
      <c r="J106">
        <v>6309.9</v>
      </c>
    </row>
    <row r="107" spans="1:10" x14ac:dyDescent="0.25">
      <c r="A107" s="1" t="s">
        <v>145</v>
      </c>
      <c r="B107" s="2">
        <v>45820</v>
      </c>
      <c r="C107" s="3" t="s">
        <v>36</v>
      </c>
      <c r="D107" t="s">
        <v>21</v>
      </c>
      <c r="E107" t="s">
        <v>28</v>
      </c>
      <c r="F107" t="s">
        <v>46</v>
      </c>
      <c r="G107" s="4">
        <v>9</v>
      </c>
      <c r="H107">
        <v>1686</v>
      </c>
      <c r="I107">
        <v>15</v>
      </c>
      <c r="J107">
        <v>12897.9</v>
      </c>
    </row>
    <row r="108" spans="1:10" x14ac:dyDescent="0.25">
      <c r="A108" s="1" t="s">
        <v>146</v>
      </c>
      <c r="B108" s="2">
        <v>45829</v>
      </c>
      <c r="C108" s="3" t="s">
        <v>11</v>
      </c>
      <c r="D108" t="s">
        <v>33</v>
      </c>
      <c r="E108" t="s">
        <v>28</v>
      </c>
      <c r="F108" t="s">
        <v>34</v>
      </c>
      <c r="G108" s="4">
        <v>14</v>
      </c>
      <c r="H108">
        <v>2930</v>
      </c>
      <c r="I108">
        <v>10</v>
      </c>
      <c r="J108">
        <v>36918</v>
      </c>
    </row>
    <row r="109" spans="1:10" x14ac:dyDescent="0.25">
      <c r="A109" s="1" t="s">
        <v>147</v>
      </c>
      <c r="B109" s="2">
        <v>45798</v>
      </c>
      <c r="C109" s="3" t="s">
        <v>11</v>
      </c>
      <c r="D109" t="s">
        <v>37</v>
      </c>
      <c r="E109" t="s">
        <v>38</v>
      </c>
      <c r="F109" t="s">
        <v>58</v>
      </c>
      <c r="G109" s="4">
        <v>16</v>
      </c>
      <c r="H109">
        <v>2561</v>
      </c>
      <c r="I109">
        <v>15</v>
      </c>
      <c r="J109">
        <v>34829.599999999999</v>
      </c>
    </row>
    <row r="110" spans="1:10" x14ac:dyDescent="0.25">
      <c r="A110" s="1" t="s">
        <v>148</v>
      </c>
      <c r="B110" s="2">
        <v>45761</v>
      </c>
      <c r="C110" s="3" t="s">
        <v>11</v>
      </c>
      <c r="D110" t="s">
        <v>12</v>
      </c>
      <c r="E110" t="s">
        <v>13</v>
      </c>
      <c r="F110" t="s">
        <v>60</v>
      </c>
      <c r="G110" s="4">
        <v>9</v>
      </c>
      <c r="H110">
        <v>2848</v>
      </c>
      <c r="I110">
        <v>0</v>
      </c>
      <c r="J110">
        <v>25632</v>
      </c>
    </row>
    <row r="111" spans="1:10" x14ac:dyDescent="0.25">
      <c r="A111" s="1" t="s">
        <v>149</v>
      </c>
      <c r="B111" s="2">
        <v>45817</v>
      </c>
      <c r="C111" s="3" t="s">
        <v>36</v>
      </c>
      <c r="D111" t="s">
        <v>12</v>
      </c>
      <c r="E111" t="s">
        <v>28</v>
      </c>
      <c r="F111" t="s">
        <v>46</v>
      </c>
      <c r="G111" s="4">
        <v>2</v>
      </c>
      <c r="H111">
        <v>1736</v>
      </c>
      <c r="I111">
        <v>10</v>
      </c>
      <c r="J111">
        <v>3124.8</v>
      </c>
    </row>
    <row r="112" spans="1:10" x14ac:dyDescent="0.25">
      <c r="A112" s="1" t="s">
        <v>150</v>
      </c>
      <c r="B112" s="2">
        <v>45731</v>
      </c>
      <c r="C112" s="3" t="s">
        <v>36</v>
      </c>
      <c r="D112" t="s">
        <v>12</v>
      </c>
      <c r="E112" t="s">
        <v>28</v>
      </c>
      <c r="F112" t="s">
        <v>29</v>
      </c>
      <c r="G112" s="4">
        <v>7</v>
      </c>
      <c r="H112">
        <v>2387</v>
      </c>
      <c r="I112">
        <v>5</v>
      </c>
      <c r="J112">
        <v>15873.55</v>
      </c>
    </row>
    <row r="113" spans="1:10" x14ac:dyDescent="0.25">
      <c r="A113" s="1" t="s">
        <v>151</v>
      </c>
      <c r="B113" s="2">
        <v>45737</v>
      </c>
      <c r="C113" s="3" t="s">
        <v>11</v>
      </c>
      <c r="D113" t="s">
        <v>17</v>
      </c>
      <c r="E113" t="s">
        <v>28</v>
      </c>
      <c r="F113" t="s">
        <v>29</v>
      </c>
      <c r="G113" s="4">
        <v>1</v>
      </c>
      <c r="H113">
        <v>2160</v>
      </c>
      <c r="I113">
        <v>5</v>
      </c>
      <c r="J113">
        <v>2052</v>
      </c>
    </row>
    <row r="114" spans="1:10" x14ac:dyDescent="0.25">
      <c r="A114" s="1" t="s">
        <v>152</v>
      </c>
      <c r="B114" s="2">
        <v>45688</v>
      </c>
      <c r="C114" s="3" t="s">
        <v>16</v>
      </c>
      <c r="D114" t="s">
        <v>37</v>
      </c>
      <c r="E114" t="s">
        <v>28</v>
      </c>
      <c r="F114" t="s">
        <v>29</v>
      </c>
      <c r="G114" s="4">
        <v>8</v>
      </c>
      <c r="H114">
        <v>1129</v>
      </c>
      <c r="I114">
        <v>15</v>
      </c>
      <c r="J114">
        <v>7677.2</v>
      </c>
    </row>
    <row r="115" spans="1:10" x14ac:dyDescent="0.25">
      <c r="A115" s="1" t="s">
        <v>153</v>
      </c>
      <c r="B115" s="2">
        <v>45720</v>
      </c>
      <c r="C115" s="3" t="s">
        <v>36</v>
      </c>
      <c r="D115" t="s">
        <v>17</v>
      </c>
      <c r="E115" t="s">
        <v>38</v>
      </c>
      <c r="F115" t="s">
        <v>50</v>
      </c>
      <c r="G115" s="4">
        <v>14</v>
      </c>
      <c r="H115">
        <v>4152</v>
      </c>
      <c r="I115">
        <v>15</v>
      </c>
      <c r="J115">
        <v>49408.800000000003</v>
      </c>
    </row>
    <row r="116" spans="1:10" x14ac:dyDescent="0.25">
      <c r="A116" s="1" t="s">
        <v>154</v>
      </c>
      <c r="B116" s="2">
        <v>45675</v>
      </c>
      <c r="C116" s="3" t="s">
        <v>20</v>
      </c>
      <c r="D116" t="s">
        <v>37</v>
      </c>
      <c r="E116" t="s">
        <v>24</v>
      </c>
      <c r="F116" t="s">
        <v>25</v>
      </c>
      <c r="G116" s="4">
        <v>7</v>
      </c>
      <c r="H116">
        <v>4363</v>
      </c>
      <c r="I116">
        <v>5</v>
      </c>
      <c r="J116">
        <v>29013.95</v>
      </c>
    </row>
    <row r="117" spans="1:10" x14ac:dyDescent="0.25">
      <c r="A117" s="1" t="s">
        <v>155</v>
      </c>
      <c r="B117" s="2">
        <v>45808</v>
      </c>
      <c r="C117" s="3" t="s">
        <v>36</v>
      </c>
      <c r="D117" t="s">
        <v>33</v>
      </c>
      <c r="E117" t="s">
        <v>38</v>
      </c>
      <c r="F117" t="s">
        <v>50</v>
      </c>
      <c r="G117" s="4">
        <v>1</v>
      </c>
      <c r="H117">
        <v>2517</v>
      </c>
      <c r="I117">
        <v>10</v>
      </c>
      <c r="J117">
        <v>2265.3000000000002</v>
      </c>
    </row>
    <row r="118" spans="1:10" x14ac:dyDescent="0.25">
      <c r="A118" s="1" t="s">
        <v>156</v>
      </c>
      <c r="B118" s="2">
        <v>45774</v>
      </c>
      <c r="C118" s="3" t="s">
        <v>20</v>
      </c>
      <c r="D118" t="s">
        <v>33</v>
      </c>
      <c r="E118" t="s">
        <v>28</v>
      </c>
      <c r="F118" t="s">
        <v>46</v>
      </c>
      <c r="G118" s="4">
        <v>12</v>
      </c>
      <c r="H118">
        <v>2923</v>
      </c>
      <c r="I118">
        <v>15</v>
      </c>
      <c r="J118">
        <v>29814.6</v>
      </c>
    </row>
    <row r="119" spans="1:10" x14ac:dyDescent="0.25">
      <c r="A119" s="1" t="s">
        <v>157</v>
      </c>
      <c r="B119" s="2">
        <v>45739</v>
      </c>
      <c r="C119" s="3" t="s">
        <v>36</v>
      </c>
      <c r="D119" t="s">
        <v>12</v>
      </c>
      <c r="E119" t="s">
        <v>24</v>
      </c>
      <c r="F119" t="s">
        <v>25</v>
      </c>
      <c r="G119" s="4">
        <v>8</v>
      </c>
      <c r="H119">
        <v>3565</v>
      </c>
      <c r="I119">
        <v>0</v>
      </c>
      <c r="J119">
        <v>28520</v>
      </c>
    </row>
    <row r="120" spans="1:10" x14ac:dyDescent="0.25">
      <c r="A120" s="1" t="s">
        <v>158</v>
      </c>
      <c r="B120" s="2">
        <v>45690</v>
      </c>
      <c r="C120" s="3" t="s">
        <v>20</v>
      </c>
      <c r="D120" t="s">
        <v>21</v>
      </c>
      <c r="E120" t="s">
        <v>28</v>
      </c>
      <c r="F120" t="s">
        <v>46</v>
      </c>
      <c r="G120" s="4">
        <v>5</v>
      </c>
      <c r="H120">
        <v>4257</v>
      </c>
      <c r="I120">
        <v>0</v>
      </c>
      <c r="J120">
        <v>21285</v>
      </c>
    </row>
    <row r="121" spans="1:10" x14ac:dyDescent="0.25">
      <c r="A121" s="1" t="s">
        <v>159</v>
      </c>
      <c r="B121" s="2">
        <v>45694</v>
      </c>
      <c r="C121" s="3" t="s">
        <v>36</v>
      </c>
      <c r="D121" t="s">
        <v>12</v>
      </c>
      <c r="E121" t="s">
        <v>28</v>
      </c>
      <c r="F121" t="s">
        <v>29</v>
      </c>
      <c r="G121" s="4">
        <v>17</v>
      </c>
      <c r="H121">
        <v>3943</v>
      </c>
      <c r="I121">
        <v>0</v>
      </c>
      <c r="J121">
        <v>67031</v>
      </c>
    </row>
    <row r="122" spans="1:10" x14ac:dyDescent="0.25">
      <c r="A122" s="1" t="s">
        <v>160</v>
      </c>
      <c r="B122" s="2">
        <v>45817</v>
      </c>
      <c r="C122" s="3" t="s">
        <v>36</v>
      </c>
      <c r="D122" t="s">
        <v>12</v>
      </c>
      <c r="E122" t="s">
        <v>24</v>
      </c>
      <c r="F122" t="s">
        <v>31</v>
      </c>
      <c r="G122" s="4">
        <v>16</v>
      </c>
      <c r="H122">
        <v>2371</v>
      </c>
      <c r="I122">
        <v>10</v>
      </c>
      <c r="J122">
        <v>34142.400000000001</v>
      </c>
    </row>
    <row r="123" spans="1:10" x14ac:dyDescent="0.25">
      <c r="A123" s="1" t="s">
        <v>161</v>
      </c>
      <c r="B123" s="2">
        <v>45818</v>
      </c>
      <c r="C123" s="3" t="s">
        <v>36</v>
      </c>
      <c r="D123" t="s">
        <v>17</v>
      </c>
      <c r="E123" t="s">
        <v>13</v>
      </c>
      <c r="F123" t="s">
        <v>60</v>
      </c>
      <c r="G123" s="4">
        <v>18</v>
      </c>
      <c r="H123">
        <v>3313</v>
      </c>
      <c r="I123">
        <v>10</v>
      </c>
      <c r="J123">
        <v>53670.6</v>
      </c>
    </row>
    <row r="124" spans="1:10" x14ac:dyDescent="0.25">
      <c r="A124" s="1" t="s">
        <v>162</v>
      </c>
      <c r="B124" s="2">
        <v>45681</v>
      </c>
      <c r="C124" s="3" t="s">
        <v>36</v>
      </c>
      <c r="D124" t="s">
        <v>21</v>
      </c>
      <c r="E124" t="s">
        <v>13</v>
      </c>
      <c r="F124" t="s">
        <v>14</v>
      </c>
      <c r="G124" s="4">
        <v>8</v>
      </c>
      <c r="H124">
        <v>2554</v>
      </c>
      <c r="I124">
        <v>5</v>
      </c>
      <c r="J124">
        <v>19410.400000000001</v>
      </c>
    </row>
    <row r="125" spans="1:10" x14ac:dyDescent="0.25">
      <c r="A125" s="1" t="s">
        <v>163</v>
      </c>
      <c r="B125" s="2">
        <v>45669</v>
      </c>
      <c r="C125" s="3" t="s">
        <v>20</v>
      </c>
      <c r="D125" t="s">
        <v>21</v>
      </c>
      <c r="E125" t="s">
        <v>13</v>
      </c>
      <c r="F125" t="s">
        <v>18</v>
      </c>
      <c r="G125" s="4">
        <v>6</v>
      </c>
      <c r="H125">
        <v>2653</v>
      </c>
      <c r="I125">
        <v>0</v>
      </c>
      <c r="J125">
        <v>15918</v>
      </c>
    </row>
    <row r="126" spans="1:10" x14ac:dyDescent="0.25">
      <c r="A126" s="1" t="s">
        <v>164</v>
      </c>
      <c r="B126" s="2">
        <v>45720</v>
      </c>
      <c r="C126" s="3" t="s">
        <v>36</v>
      </c>
      <c r="D126" t="s">
        <v>17</v>
      </c>
      <c r="E126" t="s">
        <v>38</v>
      </c>
      <c r="F126" t="s">
        <v>50</v>
      </c>
      <c r="G126" s="4">
        <v>12</v>
      </c>
      <c r="H126">
        <v>3728</v>
      </c>
      <c r="I126">
        <v>5</v>
      </c>
      <c r="J126">
        <v>42499.199999999997</v>
      </c>
    </row>
    <row r="127" spans="1:10" x14ac:dyDescent="0.25">
      <c r="A127" s="1" t="s">
        <v>165</v>
      </c>
      <c r="B127" s="2">
        <v>45816</v>
      </c>
      <c r="C127" s="3" t="s">
        <v>16</v>
      </c>
      <c r="D127" t="s">
        <v>37</v>
      </c>
      <c r="E127" t="s">
        <v>24</v>
      </c>
      <c r="F127" t="s">
        <v>87</v>
      </c>
      <c r="G127" s="4">
        <v>6</v>
      </c>
      <c r="H127">
        <v>846</v>
      </c>
      <c r="I127">
        <v>15</v>
      </c>
      <c r="J127">
        <v>4314.6000000000004</v>
      </c>
    </row>
    <row r="128" spans="1:10" x14ac:dyDescent="0.25">
      <c r="A128" s="1" t="s">
        <v>166</v>
      </c>
      <c r="B128" s="2">
        <v>45723</v>
      </c>
      <c r="C128" s="3" t="s">
        <v>11</v>
      </c>
      <c r="D128" t="s">
        <v>37</v>
      </c>
      <c r="E128" t="s">
        <v>24</v>
      </c>
      <c r="F128" t="s">
        <v>87</v>
      </c>
      <c r="G128" s="4">
        <v>15</v>
      </c>
      <c r="H128">
        <v>2280</v>
      </c>
      <c r="I128">
        <v>15</v>
      </c>
      <c r="J128">
        <v>29070</v>
      </c>
    </row>
    <row r="129" spans="1:10" x14ac:dyDescent="0.25">
      <c r="A129" s="1" t="s">
        <v>167</v>
      </c>
      <c r="B129" s="2">
        <v>45808</v>
      </c>
      <c r="C129" s="3" t="s">
        <v>20</v>
      </c>
      <c r="D129" t="s">
        <v>12</v>
      </c>
      <c r="E129" t="s">
        <v>38</v>
      </c>
      <c r="F129" t="s">
        <v>41</v>
      </c>
      <c r="G129" s="4">
        <v>3</v>
      </c>
      <c r="H129">
        <v>3818</v>
      </c>
      <c r="I129">
        <v>10</v>
      </c>
      <c r="J129">
        <v>10308.6</v>
      </c>
    </row>
    <row r="130" spans="1:10" x14ac:dyDescent="0.25">
      <c r="A130" s="1" t="s">
        <v>168</v>
      </c>
      <c r="B130" s="2">
        <v>45756</v>
      </c>
      <c r="C130" s="3" t="s">
        <v>36</v>
      </c>
      <c r="D130" t="s">
        <v>21</v>
      </c>
      <c r="E130" t="s">
        <v>28</v>
      </c>
      <c r="F130" t="s">
        <v>34</v>
      </c>
      <c r="G130" s="4">
        <v>15</v>
      </c>
      <c r="H130">
        <v>2674</v>
      </c>
      <c r="I130">
        <v>5</v>
      </c>
      <c r="J130">
        <v>38104.5</v>
      </c>
    </row>
    <row r="131" spans="1:10" x14ac:dyDescent="0.25">
      <c r="A131" s="1" t="s">
        <v>169</v>
      </c>
      <c r="B131" s="2">
        <v>45837</v>
      </c>
      <c r="C131" s="3" t="s">
        <v>20</v>
      </c>
      <c r="D131" t="s">
        <v>21</v>
      </c>
      <c r="E131" t="s">
        <v>24</v>
      </c>
      <c r="F131" t="s">
        <v>25</v>
      </c>
      <c r="G131" s="4">
        <v>19</v>
      </c>
      <c r="H131">
        <v>3140</v>
      </c>
      <c r="I131">
        <v>10</v>
      </c>
      <c r="J131">
        <v>53694</v>
      </c>
    </row>
    <row r="132" spans="1:10" x14ac:dyDescent="0.25">
      <c r="A132" s="1" t="s">
        <v>170</v>
      </c>
      <c r="B132" s="2">
        <v>45813</v>
      </c>
      <c r="C132" s="3" t="s">
        <v>36</v>
      </c>
      <c r="D132" t="s">
        <v>64</v>
      </c>
      <c r="E132" t="s">
        <v>28</v>
      </c>
      <c r="F132" t="s">
        <v>34</v>
      </c>
      <c r="G132" s="4">
        <v>1</v>
      </c>
      <c r="H132">
        <v>4836</v>
      </c>
      <c r="I132">
        <v>0</v>
      </c>
      <c r="J132">
        <v>4836</v>
      </c>
    </row>
    <row r="133" spans="1:10" x14ac:dyDescent="0.25">
      <c r="A133" s="1" t="s">
        <v>171</v>
      </c>
      <c r="B133" s="2">
        <v>45831</v>
      </c>
      <c r="C133" s="3" t="s">
        <v>16</v>
      </c>
      <c r="D133" t="s">
        <v>12</v>
      </c>
      <c r="E133" t="s">
        <v>24</v>
      </c>
      <c r="F133" t="s">
        <v>56</v>
      </c>
      <c r="G133" s="4">
        <v>8</v>
      </c>
      <c r="H133">
        <v>1757</v>
      </c>
      <c r="I133">
        <v>10</v>
      </c>
      <c r="J133">
        <v>12650.4</v>
      </c>
    </row>
    <row r="134" spans="1:10" x14ac:dyDescent="0.25">
      <c r="A134" s="1" t="s">
        <v>172</v>
      </c>
      <c r="B134" s="2">
        <v>45806</v>
      </c>
      <c r="C134" s="3" t="s">
        <v>20</v>
      </c>
      <c r="D134" t="s">
        <v>12</v>
      </c>
      <c r="E134" t="s">
        <v>13</v>
      </c>
      <c r="F134" t="s">
        <v>14</v>
      </c>
      <c r="G134" s="4">
        <v>10</v>
      </c>
      <c r="H134">
        <v>3811</v>
      </c>
      <c r="I134">
        <v>0</v>
      </c>
      <c r="J134">
        <v>38110</v>
      </c>
    </row>
    <row r="135" spans="1:10" x14ac:dyDescent="0.25">
      <c r="A135" s="1" t="s">
        <v>173</v>
      </c>
      <c r="B135" s="2">
        <v>45702</v>
      </c>
      <c r="C135" s="3" t="s">
        <v>16</v>
      </c>
      <c r="D135" t="s">
        <v>33</v>
      </c>
      <c r="E135" t="s">
        <v>24</v>
      </c>
      <c r="F135" t="s">
        <v>31</v>
      </c>
      <c r="G135" s="4">
        <v>10</v>
      </c>
      <c r="H135">
        <v>2876</v>
      </c>
      <c r="I135">
        <v>15</v>
      </c>
      <c r="J135">
        <v>24446</v>
      </c>
    </row>
    <row r="136" spans="1:10" x14ac:dyDescent="0.25">
      <c r="A136" s="1" t="s">
        <v>174</v>
      </c>
      <c r="B136" s="2">
        <v>45733</v>
      </c>
      <c r="C136" s="3" t="s">
        <v>20</v>
      </c>
      <c r="D136" t="s">
        <v>21</v>
      </c>
      <c r="E136" t="s">
        <v>38</v>
      </c>
      <c r="F136" t="s">
        <v>50</v>
      </c>
      <c r="G136" s="4">
        <v>6</v>
      </c>
      <c r="H136">
        <v>2305</v>
      </c>
      <c r="I136">
        <v>15</v>
      </c>
      <c r="J136">
        <v>11755.5</v>
      </c>
    </row>
    <row r="137" spans="1:10" x14ac:dyDescent="0.25">
      <c r="A137" s="1" t="s">
        <v>175</v>
      </c>
      <c r="B137" s="2">
        <v>45800</v>
      </c>
      <c r="C137" s="3" t="s">
        <v>20</v>
      </c>
      <c r="D137" t="s">
        <v>21</v>
      </c>
      <c r="E137" t="s">
        <v>28</v>
      </c>
      <c r="F137" t="s">
        <v>29</v>
      </c>
      <c r="G137" s="4">
        <v>5</v>
      </c>
      <c r="H137">
        <v>2048</v>
      </c>
      <c r="I137">
        <v>15</v>
      </c>
      <c r="J137">
        <v>8704</v>
      </c>
    </row>
    <row r="138" spans="1:10" x14ac:dyDescent="0.25">
      <c r="A138" s="1" t="s">
        <v>176</v>
      </c>
      <c r="B138" s="2">
        <v>45774</v>
      </c>
      <c r="C138" s="3" t="s">
        <v>20</v>
      </c>
      <c r="D138" t="s">
        <v>12</v>
      </c>
      <c r="E138" t="s">
        <v>28</v>
      </c>
      <c r="F138" t="s">
        <v>29</v>
      </c>
      <c r="G138" s="4">
        <v>9</v>
      </c>
      <c r="H138">
        <v>4595</v>
      </c>
      <c r="I138">
        <v>0</v>
      </c>
      <c r="J138">
        <v>41355</v>
      </c>
    </row>
    <row r="139" spans="1:10" x14ac:dyDescent="0.25">
      <c r="A139" s="1" t="s">
        <v>177</v>
      </c>
      <c r="B139" s="2">
        <v>45778</v>
      </c>
      <c r="C139" s="3" t="s">
        <v>11</v>
      </c>
      <c r="D139" t="s">
        <v>17</v>
      </c>
      <c r="E139" t="s">
        <v>38</v>
      </c>
      <c r="F139" t="s">
        <v>58</v>
      </c>
      <c r="G139" s="4">
        <v>12</v>
      </c>
      <c r="H139">
        <v>1087</v>
      </c>
      <c r="I139">
        <v>5</v>
      </c>
      <c r="J139">
        <v>12391.8</v>
      </c>
    </row>
    <row r="140" spans="1:10" x14ac:dyDescent="0.25">
      <c r="A140" s="1" t="s">
        <v>178</v>
      </c>
      <c r="B140" s="2">
        <v>45824</v>
      </c>
      <c r="C140" s="3" t="s">
        <v>36</v>
      </c>
      <c r="D140" t="s">
        <v>21</v>
      </c>
      <c r="E140" t="s">
        <v>38</v>
      </c>
      <c r="F140" t="s">
        <v>41</v>
      </c>
      <c r="G140" s="4">
        <v>3</v>
      </c>
      <c r="H140">
        <v>4003</v>
      </c>
      <c r="I140">
        <v>10</v>
      </c>
      <c r="J140">
        <v>10808.1</v>
      </c>
    </row>
    <row r="141" spans="1:10" x14ac:dyDescent="0.25">
      <c r="A141" s="1" t="s">
        <v>179</v>
      </c>
      <c r="B141" s="2">
        <v>45687</v>
      </c>
      <c r="C141" s="3" t="s">
        <v>11</v>
      </c>
      <c r="D141" t="s">
        <v>33</v>
      </c>
      <c r="E141" t="s">
        <v>24</v>
      </c>
      <c r="F141" t="s">
        <v>31</v>
      </c>
      <c r="G141" s="4">
        <v>2</v>
      </c>
      <c r="H141">
        <v>2693</v>
      </c>
      <c r="I141">
        <v>15</v>
      </c>
      <c r="J141">
        <v>4578.1000000000004</v>
      </c>
    </row>
    <row r="142" spans="1:10" x14ac:dyDescent="0.25">
      <c r="A142" s="1" t="s">
        <v>180</v>
      </c>
      <c r="B142" s="2">
        <v>45808</v>
      </c>
      <c r="C142" s="3" t="s">
        <v>16</v>
      </c>
      <c r="D142" t="s">
        <v>37</v>
      </c>
      <c r="E142" t="s">
        <v>24</v>
      </c>
      <c r="F142" t="s">
        <v>25</v>
      </c>
      <c r="G142" s="4">
        <v>15</v>
      </c>
      <c r="H142">
        <v>3239</v>
      </c>
      <c r="I142">
        <v>15</v>
      </c>
      <c r="J142">
        <v>41297.25</v>
      </c>
    </row>
    <row r="143" spans="1:10" x14ac:dyDescent="0.25">
      <c r="A143" s="1" t="s">
        <v>181</v>
      </c>
      <c r="B143" s="2">
        <v>45666</v>
      </c>
      <c r="C143" s="3" t="s">
        <v>20</v>
      </c>
      <c r="D143" t="s">
        <v>33</v>
      </c>
      <c r="E143" t="s">
        <v>13</v>
      </c>
      <c r="F143" t="s">
        <v>18</v>
      </c>
      <c r="G143" s="4">
        <v>20</v>
      </c>
      <c r="H143">
        <v>3543</v>
      </c>
      <c r="I143">
        <v>10</v>
      </c>
      <c r="J143">
        <v>63774</v>
      </c>
    </row>
    <row r="144" spans="1:10" x14ac:dyDescent="0.25">
      <c r="A144" s="1" t="s">
        <v>182</v>
      </c>
      <c r="B144" s="2">
        <v>45833</v>
      </c>
      <c r="C144" s="3" t="s">
        <v>20</v>
      </c>
      <c r="D144" t="s">
        <v>17</v>
      </c>
      <c r="E144" t="s">
        <v>28</v>
      </c>
      <c r="F144" t="s">
        <v>46</v>
      </c>
      <c r="G144" s="4">
        <v>8</v>
      </c>
      <c r="H144">
        <v>3171</v>
      </c>
      <c r="I144">
        <v>0</v>
      </c>
      <c r="J144">
        <v>25368</v>
      </c>
    </row>
    <row r="145" spans="1:10" x14ac:dyDescent="0.25">
      <c r="A145" s="1" t="s">
        <v>183</v>
      </c>
      <c r="B145" s="2">
        <v>45689</v>
      </c>
      <c r="C145" s="3" t="s">
        <v>36</v>
      </c>
      <c r="D145" t="s">
        <v>21</v>
      </c>
      <c r="E145" t="s">
        <v>38</v>
      </c>
      <c r="F145" t="s">
        <v>39</v>
      </c>
      <c r="G145" s="4">
        <v>13</v>
      </c>
      <c r="H145">
        <v>2460</v>
      </c>
      <c r="I145">
        <v>5</v>
      </c>
      <c r="J145">
        <v>30381</v>
      </c>
    </row>
    <row r="146" spans="1:10" x14ac:dyDescent="0.25">
      <c r="A146" s="1" t="s">
        <v>184</v>
      </c>
      <c r="B146" s="2">
        <v>45690</v>
      </c>
      <c r="C146" s="3" t="s">
        <v>16</v>
      </c>
      <c r="D146" t="s">
        <v>21</v>
      </c>
      <c r="E146" t="s">
        <v>24</v>
      </c>
      <c r="F146" t="s">
        <v>31</v>
      </c>
      <c r="G146" s="4">
        <v>2</v>
      </c>
      <c r="H146">
        <v>2932</v>
      </c>
      <c r="I146">
        <v>5</v>
      </c>
      <c r="J146">
        <v>5570.8</v>
      </c>
    </row>
    <row r="147" spans="1:10" x14ac:dyDescent="0.25">
      <c r="A147" s="1" t="s">
        <v>185</v>
      </c>
      <c r="B147" s="2">
        <v>45810</v>
      </c>
      <c r="C147" s="3" t="s">
        <v>11</v>
      </c>
      <c r="D147" t="s">
        <v>64</v>
      </c>
      <c r="E147" t="s">
        <v>24</v>
      </c>
      <c r="F147" t="s">
        <v>87</v>
      </c>
      <c r="G147" s="4">
        <v>8</v>
      </c>
      <c r="H147">
        <v>2891</v>
      </c>
      <c r="I147">
        <v>5</v>
      </c>
      <c r="J147">
        <v>21971.599999999999</v>
      </c>
    </row>
    <row r="148" spans="1:10" x14ac:dyDescent="0.25">
      <c r="A148" s="1" t="s">
        <v>186</v>
      </c>
      <c r="B148" s="2">
        <v>45686</v>
      </c>
      <c r="C148" s="3" t="s">
        <v>11</v>
      </c>
      <c r="D148" t="s">
        <v>33</v>
      </c>
      <c r="E148" t="s">
        <v>24</v>
      </c>
      <c r="F148" t="s">
        <v>87</v>
      </c>
      <c r="G148" s="4">
        <v>18</v>
      </c>
      <c r="H148">
        <v>2253</v>
      </c>
      <c r="I148">
        <v>5</v>
      </c>
      <c r="J148">
        <v>38526.300000000003</v>
      </c>
    </row>
    <row r="149" spans="1:10" x14ac:dyDescent="0.25">
      <c r="A149" s="1" t="s">
        <v>187</v>
      </c>
      <c r="B149" s="2">
        <v>45702</v>
      </c>
      <c r="C149" s="3" t="s">
        <v>20</v>
      </c>
      <c r="D149" t="s">
        <v>21</v>
      </c>
      <c r="E149" t="s">
        <v>13</v>
      </c>
      <c r="F149" t="s">
        <v>60</v>
      </c>
      <c r="G149" s="4">
        <v>8</v>
      </c>
      <c r="H149">
        <v>2852</v>
      </c>
      <c r="I149">
        <v>0</v>
      </c>
      <c r="J149">
        <v>22816</v>
      </c>
    </row>
    <row r="150" spans="1:10" x14ac:dyDescent="0.25">
      <c r="A150" s="1" t="s">
        <v>188</v>
      </c>
      <c r="B150" s="2">
        <v>45779</v>
      </c>
      <c r="C150" s="3" t="s">
        <v>36</v>
      </c>
      <c r="D150" t="s">
        <v>64</v>
      </c>
      <c r="E150" t="s">
        <v>24</v>
      </c>
      <c r="F150" t="s">
        <v>25</v>
      </c>
      <c r="G150" s="4">
        <v>17</v>
      </c>
      <c r="H150">
        <v>1131</v>
      </c>
      <c r="I150">
        <v>0</v>
      </c>
      <c r="J150">
        <v>19227</v>
      </c>
    </row>
    <row r="151" spans="1:10" x14ac:dyDescent="0.25">
      <c r="A151" s="1" t="s">
        <v>189</v>
      </c>
      <c r="B151" s="2">
        <v>45826</v>
      </c>
      <c r="C151" s="3" t="s">
        <v>20</v>
      </c>
      <c r="D151" t="s">
        <v>37</v>
      </c>
      <c r="E151" t="s">
        <v>13</v>
      </c>
      <c r="F151" t="s">
        <v>18</v>
      </c>
      <c r="G151" s="4">
        <v>17</v>
      </c>
      <c r="H151">
        <v>2014</v>
      </c>
      <c r="I151">
        <v>0</v>
      </c>
      <c r="J151">
        <v>34238</v>
      </c>
    </row>
    <row r="152" spans="1:10" x14ac:dyDescent="0.25">
      <c r="A152" s="1" t="s">
        <v>190</v>
      </c>
      <c r="B152" s="2">
        <v>45833</v>
      </c>
      <c r="C152" s="3" t="s">
        <v>11</v>
      </c>
      <c r="D152" t="s">
        <v>37</v>
      </c>
      <c r="E152" t="s">
        <v>13</v>
      </c>
      <c r="F152" t="s">
        <v>14</v>
      </c>
      <c r="G152" s="4">
        <v>16</v>
      </c>
      <c r="H152">
        <v>3490</v>
      </c>
      <c r="I152">
        <v>15</v>
      </c>
      <c r="J152">
        <v>47464</v>
      </c>
    </row>
    <row r="153" spans="1:10" x14ac:dyDescent="0.25">
      <c r="A153" s="1" t="s">
        <v>191</v>
      </c>
      <c r="B153" s="2">
        <v>45674</v>
      </c>
      <c r="C153" s="3" t="s">
        <v>16</v>
      </c>
      <c r="D153" t="s">
        <v>64</v>
      </c>
      <c r="E153" t="s">
        <v>28</v>
      </c>
      <c r="F153" t="s">
        <v>29</v>
      </c>
      <c r="G153" s="4">
        <v>3</v>
      </c>
      <c r="H153">
        <v>2838</v>
      </c>
      <c r="I153">
        <v>5</v>
      </c>
      <c r="J153">
        <v>8088.3</v>
      </c>
    </row>
    <row r="154" spans="1:10" x14ac:dyDescent="0.25">
      <c r="A154" s="1" t="s">
        <v>192</v>
      </c>
      <c r="B154" s="2">
        <v>45774</v>
      </c>
      <c r="C154" s="3" t="s">
        <v>36</v>
      </c>
      <c r="D154" t="s">
        <v>21</v>
      </c>
      <c r="E154" t="s">
        <v>38</v>
      </c>
      <c r="F154" t="s">
        <v>58</v>
      </c>
      <c r="G154" s="4">
        <v>20</v>
      </c>
      <c r="H154">
        <v>4546</v>
      </c>
      <c r="I154">
        <v>10</v>
      </c>
      <c r="J154">
        <v>81828</v>
      </c>
    </row>
    <row r="155" spans="1:10" x14ac:dyDescent="0.25">
      <c r="A155" s="1" t="s">
        <v>193</v>
      </c>
      <c r="B155" s="2">
        <v>45763</v>
      </c>
      <c r="C155" s="3" t="s">
        <v>20</v>
      </c>
      <c r="D155" t="s">
        <v>37</v>
      </c>
      <c r="E155" t="s">
        <v>13</v>
      </c>
      <c r="F155" t="s">
        <v>22</v>
      </c>
      <c r="G155" s="4">
        <v>14</v>
      </c>
      <c r="H155">
        <v>3899</v>
      </c>
      <c r="I155">
        <v>5</v>
      </c>
      <c r="J155">
        <v>51856.7</v>
      </c>
    </row>
    <row r="156" spans="1:10" x14ac:dyDescent="0.25">
      <c r="A156" s="1" t="s">
        <v>194</v>
      </c>
      <c r="B156" s="2">
        <v>45738</v>
      </c>
      <c r="C156" s="3" t="s">
        <v>20</v>
      </c>
      <c r="D156" t="s">
        <v>64</v>
      </c>
      <c r="E156" t="s">
        <v>28</v>
      </c>
      <c r="F156" t="s">
        <v>46</v>
      </c>
      <c r="G156" s="4">
        <v>4</v>
      </c>
      <c r="H156">
        <v>2760</v>
      </c>
      <c r="I156">
        <v>15</v>
      </c>
      <c r="J156">
        <v>9384</v>
      </c>
    </row>
    <row r="157" spans="1:10" x14ac:dyDescent="0.25">
      <c r="A157" s="1" t="s">
        <v>195</v>
      </c>
      <c r="B157" s="2">
        <v>45681</v>
      </c>
      <c r="C157" s="3" t="s">
        <v>36</v>
      </c>
      <c r="D157" t="s">
        <v>21</v>
      </c>
      <c r="E157" t="s">
        <v>24</v>
      </c>
      <c r="F157" t="s">
        <v>25</v>
      </c>
      <c r="G157" s="4">
        <v>3</v>
      </c>
      <c r="H157">
        <v>947</v>
      </c>
      <c r="I157">
        <v>0</v>
      </c>
      <c r="J157">
        <v>2841</v>
      </c>
    </row>
    <row r="158" spans="1:10" x14ac:dyDescent="0.25">
      <c r="A158" s="1" t="s">
        <v>196</v>
      </c>
      <c r="B158" s="2">
        <v>45829</v>
      </c>
      <c r="C158" s="3" t="s">
        <v>11</v>
      </c>
      <c r="D158" t="s">
        <v>37</v>
      </c>
      <c r="E158" t="s">
        <v>38</v>
      </c>
      <c r="F158" t="s">
        <v>41</v>
      </c>
      <c r="G158" s="4">
        <v>18</v>
      </c>
      <c r="H158">
        <v>691</v>
      </c>
      <c r="I158">
        <v>10</v>
      </c>
      <c r="J158">
        <v>11194.2</v>
      </c>
    </row>
    <row r="159" spans="1:10" x14ac:dyDescent="0.25">
      <c r="A159" s="1" t="s">
        <v>197</v>
      </c>
      <c r="B159" s="2">
        <v>45748</v>
      </c>
      <c r="C159" s="3" t="s">
        <v>11</v>
      </c>
      <c r="D159" t="s">
        <v>17</v>
      </c>
      <c r="E159" t="s">
        <v>38</v>
      </c>
      <c r="F159" t="s">
        <v>58</v>
      </c>
      <c r="G159" s="4">
        <v>2</v>
      </c>
      <c r="H159">
        <v>2556</v>
      </c>
      <c r="I159">
        <v>10</v>
      </c>
      <c r="J159">
        <v>4600.8</v>
      </c>
    </row>
    <row r="160" spans="1:10" x14ac:dyDescent="0.25">
      <c r="A160" s="1" t="s">
        <v>198</v>
      </c>
      <c r="B160" s="2">
        <v>45747</v>
      </c>
      <c r="C160" s="3" t="s">
        <v>20</v>
      </c>
      <c r="D160" t="s">
        <v>21</v>
      </c>
      <c r="E160" t="s">
        <v>24</v>
      </c>
      <c r="F160" t="s">
        <v>87</v>
      </c>
      <c r="G160" s="4">
        <v>16</v>
      </c>
      <c r="H160">
        <v>2037</v>
      </c>
      <c r="I160">
        <v>0</v>
      </c>
      <c r="J160">
        <v>32592</v>
      </c>
    </row>
    <row r="161" spans="1:10" x14ac:dyDescent="0.25">
      <c r="A161" s="1" t="s">
        <v>199</v>
      </c>
      <c r="B161" s="2">
        <v>45813</v>
      </c>
      <c r="C161" s="3" t="s">
        <v>20</v>
      </c>
      <c r="D161" t="s">
        <v>21</v>
      </c>
      <c r="E161" t="s">
        <v>38</v>
      </c>
      <c r="F161" t="s">
        <v>41</v>
      </c>
      <c r="G161" s="4">
        <v>14</v>
      </c>
      <c r="H161">
        <v>4795</v>
      </c>
      <c r="I161">
        <v>0</v>
      </c>
      <c r="J161">
        <v>67130</v>
      </c>
    </row>
    <row r="162" spans="1:10" x14ac:dyDescent="0.25">
      <c r="A162" s="1" t="s">
        <v>200</v>
      </c>
      <c r="B162" s="2">
        <v>45659</v>
      </c>
      <c r="C162" s="3" t="s">
        <v>16</v>
      </c>
      <c r="D162" t="s">
        <v>33</v>
      </c>
      <c r="E162" t="s">
        <v>24</v>
      </c>
      <c r="F162" t="s">
        <v>56</v>
      </c>
      <c r="G162" s="4">
        <v>10</v>
      </c>
      <c r="H162">
        <v>2983</v>
      </c>
      <c r="I162">
        <v>10</v>
      </c>
      <c r="J162">
        <v>26847</v>
      </c>
    </row>
    <row r="163" spans="1:10" x14ac:dyDescent="0.25">
      <c r="A163" s="1" t="s">
        <v>201</v>
      </c>
      <c r="B163" s="2">
        <v>45793</v>
      </c>
      <c r="C163" s="3" t="s">
        <v>16</v>
      </c>
      <c r="D163" t="s">
        <v>37</v>
      </c>
      <c r="E163" t="s">
        <v>28</v>
      </c>
      <c r="F163" t="s">
        <v>29</v>
      </c>
      <c r="G163" s="4">
        <v>5</v>
      </c>
      <c r="H163">
        <v>451</v>
      </c>
      <c r="I163">
        <v>0</v>
      </c>
      <c r="J163">
        <v>2255</v>
      </c>
    </row>
    <row r="164" spans="1:10" x14ac:dyDescent="0.25">
      <c r="A164" s="1" t="s">
        <v>202</v>
      </c>
      <c r="B164" s="2">
        <v>45737</v>
      </c>
      <c r="C164" s="3" t="s">
        <v>20</v>
      </c>
      <c r="D164" t="s">
        <v>17</v>
      </c>
      <c r="E164" t="s">
        <v>28</v>
      </c>
      <c r="F164" t="s">
        <v>46</v>
      </c>
      <c r="G164" s="4">
        <v>11</v>
      </c>
      <c r="H164">
        <v>1489</v>
      </c>
      <c r="I164">
        <v>10</v>
      </c>
      <c r="J164">
        <v>14741.1</v>
      </c>
    </row>
    <row r="165" spans="1:10" x14ac:dyDescent="0.25">
      <c r="A165" s="1" t="s">
        <v>203</v>
      </c>
      <c r="B165" s="2">
        <v>45830</v>
      </c>
      <c r="C165" s="3" t="s">
        <v>11</v>
      </c>
      <c r="D165" t="s">
        <v>64</v>
      </c>
      <c r="E165" t="s">
        <v>13</v>
      </c>
      <c r="F165" t="s">
        <v>14</v>
      </c>
      <c r="G165" s="4">
        <v>5</v>
      </c>
      <c r="H165">
        <v>1489</v>
      </c>
      <c r="I165">
        <v>0</v>
      </c>
      <c r="J165">
        <v>7445</v>
      </c>
    </row>
    <row r="166" spans="1:10" x14ac:dyDescent="0.25">
      <c r="A166" s="1" t="s">
        <v>204</v>
      </c>
      <c r="B166" s="2">
        <v>45727</v>
      </c>
      <c r="C166" s="3" t="s">
        <v>16</v>
      </c>
      <c r="D166" t="s">
        <v>17</v>
      </c>
      <c r="E166" t="s">
        <v>28</v>
      </c>
      <c r="F166" t="s">
        <v>46</v>
      </c>
      <c r="G166" s="4">
        <v>16</v>
      </c>
      <c r="H166">
        <v>3821</v>
      </c>
      <c r="I166">
        <v>15</v>
      </c>
      <c r="J166">
        <v>51965.599999999999</v>
      </c>
    </row>
    <row r="167" spans="1:10" x14ac:dyDescent="0.25">
      <c r="A167" s="1" t="s">
        <v>205</v>
      </c>
      <c r="B167" s="2">
        <v>45831</v>
      </c>
      <c r="C167" s="3" t="s">
        <v>36</v>
      </c>
      <c r="D167" t="s">
        <v>17</v>
      </c>
      <c r="E167" t="s">
        <v>13</v>
      </c>
      <c r="F167" t="s">
        <v>60</v>
      </c>
      <c r="G167" s="4">
        <v>14</v>
      </c>
      <c r="H167">
        <v>1108</v>
      </c>
      <c r="I167">
        <v>10</v>
      </c>
      <c r="J167">
        <v>13960.8</v>
      </c>
    </row>
    <row r="168" spans="1:10" x14ac:dyDescent="0.25">
      <c r="A168" s="1" t="s">
        <v>206</v>
      </c>
      <c r="B168" s="2">
        <v>45659</v>
      </c>
      <c r="C168" s="3" t="s">
        <v>16</v>
      </c>
      <c r="D168" t="s">
        <v>64</v>
      </c>
      <c r="E168" t="s">
        <v>38</v>
      </c>
      <c r="F168" t="s">
        <v>39</v>
      </c>
      <c r="G168" s="4">
        <v>8</v>
      </c>
      <c r="H168">
        <v>3437</v>
      </c>
      <c r="I168">
        <v>0</v>
      </c>
      <c r="J168">
        <v>27496</v>
      </c>
    </row>
    <row r="169" spans="1:10" x14ac:dyDescent="0.25">
      <c r="A169" s="1" t="s">
        <v>207</v>
      </c>
      <c r="B169" s="2">
        <v>45688</v>
      </c>
      <c r="C169" s="3" t="s">
        <v>11</v>
      </c>
      <c r="D169" t="s">
        <v>37</v>
      </c>
      <c r="E169" t="s">
        <v>24</v>
      </c>
      <c r="F169" t="s">
        <v>87</v>
      </c>
      <c r="G169" s="4">
        <v>9</v>
      </c>
      <c r="H169">
        <v>2571</v>
      </c>
      <c r="I169">
        <v>10</v>
      </c>
      <c r="J169">
        <v>20825.099999999999</v>
      </c>
    </row>
    <row r="170" spans="1:10" x14ac:dyDescent="0.25">
      <c r="A170" s="1" t="s">
        <v>208</v>
      </c>
      <c r="B170" s="2">
        <v>45786</v>
      </c>
      <c r="C170" s="3" t="s">
        <v>20</v>
      </c>
      <c r="D170" t="s">
        <v>21</v>
      </c>
      <c r="E170" t="s">
        <v>28</v>
      </c>
      <c r="F170" t="s">
        <v>44</v>
      </c>
      <c r="G170" s="4">
        <v>5</v>
      </c>
      <c r="H170">
        <v>3314</v>
      </c>
      <c r="I170">
        <v>5</v>
      </c>
      <c r="J170">
        <v>15741.5</v>
      </c>
    </row>
    <row r="171" spans="1:10" x14ac:dyDescent="0.25">
      <c r="A171" s="1" t="s">
        <v>209</v>
      </c>
      <c r="B171" s="2">
        <v>45677</v>
      </c>
      <c r="C171" s="3" t="s">
        <v>20</v>
      </c>
      <c r="D171" t="s">
        <v>17</v>
      </c>
      <c r="E171" t="s">
        <v>28</v>
      </c>
      <c r="F171" t="s">
        <v>29</v>
      </c>
      <c r="G171" s="4">
        <v>14</v>
      </c>
      <c r="H171">
        <v>353</v>
      </c>
      <c r="I171">
        <v>15</v>
      </c>
      <c r="J171">
        <v>4200.7</v>
      </c>
    </row>
    <row r="172" spans="1:10" x14ac:dyDescent="0.25">
      <c r="A172" s="1" t="s">
        <v>210</v>
      </c>
      <c r="B172" s="2">
        <v>45761</v>
      </c>
      <c r="C172" s="3" t="s">
        <v>11</v>
      </c>
      <c r="D172" t="s">
        <v>64</v>
      </c>
      <c r="E172" t="s">
        <v>28</v>
      </c>
      <c r="F172" t="s">
        <v>46</v>
      </c>
      <c r="G172" s="4">
        <v>14</v>
      </c>
      <c r="H172">
        <v>2571</v>
      </c>
      <c r="I172">
        <v>0</v>
      </c>
      <c r="J172">
        <v>35994</v>
      </c>
    </row>
    <row r="173" spans="1:10" x14ac:dyDescent="0.25">
      <c r="A173" s="1" t="s">
        <v>211</v>
      </c>
      <c r="B173" s="2">
        <v>45685</v>
      </c>
      <c r="C173" s="3" t="s">
        <v>16</v>
      </c>
      <c r="D173" t="s">
        <v>37</v>
      </c>
      <c r="E173" t="s">
        <v>24</v>
      </c>
      <c r="F173" t="s">
        <v>25</v>
      </c>
      <c r="G173" s="4">
        <v>12</v>
      </c>
      <c r="H173">
        <v>921</v>
      </c>
      <c r="I173">
        <v>15</v>
      </c>
      <c r="J173">
        <v>9394.2000000000007</v>
      </c>
    </row>
    <row r="174" spans="1:10" x14ac:dyDescent="0.25">
      <c r="A174" s="1" t="s">
        <v>212</v>
      </c>
      <c r="B174" s="2">
        <v>45714</v>
      </c>
      <c r="C174" s="3" t="s">
        <v>20</v>
      </c>
      <c r="D174" t="s">
        <v>33</v>
      </c>
      <c r="E174" t="s">
        <v>28</v>
      </c>
      <c r="F174" t="s">
        <v>29</v>
      </c>
      <c r="G174" s="4">
        <v>13</v>
      </c>
      <c r="H174">
        <v>2741</v>
      </c>
      <c r="I174">
        <v>10</v>
      </c>
      <c r="J174">
        <v>32069.7</v>
      </c>
    </row>
    <row r="175" spans="1:10" x14ac:dyDescent="0.25">
      <c r="A175" s="1" t="s">
        <v>213</v>
      </c>
      <c r="B175" s="2">
        <v>45747</v>
      </c>
      <c r="C175" s="3" t="s">
        <v>20</v>
      </c>
      <c r="D175" t="s">
        <v>12</v>
      </c>
      <c r="E175" t="s">
        <v>13</v>
      </c>
      <c r="F175" t="s">
        <v>14</v>
      </c>
      <c r="G175" s="4">
        <v>17</v>
      </c>
      <c r="H175">
        <v>4377</v>
      </c>
      <c r="I175">
        <v>5</v>
      </c>
      <c r="J175">
        <v>70688.55</v>
      </c>
    </row>
    <row r="176" spans="1:10" x14ac:dyDescent="0.25">
      <c r="A176" s="1" t="s">
        <v>214</v>
      </c>
      <c r="B176" s="2">
        <v>45708</v>
      </c>
      <c r="C176" s="3" t="s">
        <v>16</v>
      </c>
      <c r="D176" t="s">
        <v>17</v>
      </c>
      <c r="E176" t="s">
        <v>24</v>
      </c>
      <c r="F176" t="s">
        <v>87</v>
      </c>
      <c r="G176" s="4">
        <v>4</v>
      </c>
      <c r="H176">
        <v>1399</v>
      </c>
      <c r="I176">
        <v>10</v>
      </c>
      <c r="J176">
        <v>5036.3999999999996</v>
      </c>
    </row>
    <row r="177" spans="1:10" x14ac:dyDescent="0.25">
      <c r="A177" s="1" t="s">
        <v>215</v>
      </c>
      <c r="B177" s="2">
        <v>45802</v>
      </c>
      <c r="C177" s="3" t="s">
        <v>36</v>
      </c>
      <c r="D177" t="s">
        <v>12</v>
      </c>
      <c r="E177" t="s">
        <v>24</v>
      </c>
      <c r="F177" t="s">
        <v>31</v>
      </c>
      <c r="G177" s="4">
        <v>6</v>
      </c>
      <c r="H177">
        <v>4247</v>
      </c>
      <c r="I177">
        <v>15</v>
      </c>
      <c r="J177">
        <v>21659.7</v>
      </c>
    </row>
    <row r="178" spans="1:10" x14ac:dyDescent="0.25">
      <c r="A178" s="1" t="s">
        <v>216</v>
      </c>
      <c r="B178" s="2">
        <v>45778</v>
      </c>
      <c r="C178" s="3" t="s">
        <v>36</v>
      </c>
      <c r="D178" t="s">
        <v>12</v>
      </c>
      <c r="E178" t="s">
        <v>38</v>
      </c>
      <c r="F178" t="s">
        <v>50</v>
      </c>
      <c r="G178" s="4">
        <v>5</v>
      </c>
      <c r="H178">
        <v>3802</v>
      </c>
      <c r="I178">
        <v>0</v>
      </c>
      <c r="J178">
        <v>19010</v>
      </c>
    </row>
    <row r="179" spans="1:10" x14ac:dyDescent="0.25">
      <c r="A179" s="1" t="s">
        <v>217</v>
      </c>
      <c r="B179" s="2">
        <v>45787</v>
      </c>
      <c r="C179" s="3" t="s">
        <v>11</v>
      </c>
      <c r="D179" t="s">
        <v>64</v>
      </c>
      <c r="E179" t="s">
        <v>38</v>
      </c>
      <c r="F179" t="s">
        <v>50</v>
      </c>
      <c r="G179" s="4">
        <v>19</v>
      </c>
      <c r="H179">
        <v>660</v>
      </c>
      <c r="I179">
        <v>10</v>
      </c>
      <c r="J179">
        <v>11286</v>
      </c>
    </row>
    <row r="180" spans="1:10" x14ac:dyDescent="0.25">
      <c r="A180" s="1" t="s">
        <v>218</v>
      </c>
      <c r="B180" s="2">
        <v>45731</v>
      </c>
      <c r="C180" s="3" t="s">
        <v>11</v>
      </c>
      <c r="D180" t="s">
        <v>12</v>
      </c>
      <c r="E180" t="s">
        <v>28</v>
      </c>
      <c r="F180" t="s">
        <v>46</v>
      </c>
      <c r="G180" s="4">
        <v>2</v>
      </c>
      <c r="H180">
        <v>666</v>
      </c>
      <c r="I180">
        <v>10</v>
      </c>
      <c r="J180">
        <v>1198.8</v>
      </c>
    </row>
    <row r="181" spans="1:10" x14ac:dyDescent="0.25">
      <c r="A181" s="1" t="s">
        <v>219</v>
      </c>
      <c r="B181" s="2">
        <v>45773</v>
      </c>
      <c r="C181" s="3" t="s">
        <v>16</v>
      </c>
      <c r="D181" t="s">
        <v>64</v>
      </c>
      <c r="E181" t="s">
        <v>13</v>
      </c>
      <c r="F181" t="s">
        <v>18</v>
      </c>
      <c r="G181" s="4">
        <v>15</v>
      </c>
      <c r="H181">
        <v>4954</v>
      </c>
      <c r="I181">
        <v>0</v>
      </c>
      <c r="J181">
        <v>74310</v>
      </c>
    </row>
    <row r="182" spans="1:10" x14ac:dyDescent="0.25">
      <c r="A182" s="1" t="s">
        <v>220</v>
      </c>
      <c r="B182" s="2">
        <v>45745</v>
      </c>
      <c r="C182" s="3" t="s">
        <v>11</v>
      </c>
      <c r="D182" t="s">
        <v>17</v>
      </c>
      <c r="E182" t="s">
        <v>28</v>
      </c>
      <c r="F182" t="s">
        <v>44</v>
      </c>
      <c r="G182" s="4">
        <v>2</v>
      </c>
      <c r="H182">
        <v>3890</v>
      </c>
      <c r="I182">
        <v>0</v>
      </c>
      <c r="J182">
        <v>7780</v>
      </c>
    </row>
    <row r="183" spans="1:10" x14ac:dyDescent="0.25">
      <c r="A183" s="1" t="s">
        <v>221</v>
      </c>
      <c r="B183" s="2">
        <v>45792</v>
      </c>
      <c r="C183" s="3" t="s">
        <v>16</v>
      </c>
      <c r="D183" t="s">
        <v>64</v>
      </c>
      <c r="E183" t="s">
        <v>24</v>
      </c>
      <c r="F183" t="s">
        <v>31</v>
      </c>
      <c r="G183" s="4">
        <v>8</v>
      </c>
      <c r="H183">
        <v>3786</v>
      </c>
      <c r="I183">
        <v>15</v>
      </c>
      <c r="J183">
        <v>25744.799999999999</v>
      </c>
    </row>
    <row r="184" spans="1:10" x14ac:dyDescent="0.25">
      <c r="A184" s="1" t="s">
        <v>222</v>
      </c>
      <c r="B184" s="2">
        <v>45831</v>
      </c>
      <c r="C184" s="3" t="s">
        <v>11</v>
      </c>
      <c r="D184" t="s">
        <v>12</v>
      </c>
      <c r="E184" t="s">
        <v>38</v>
      </c>
      <c r="F184" t="s">
        <v>50</v>
      </c>
      <c r="G184" s="4">
        <v>13</v>
      </c>
      <c r="H184">
        <v>3548</v>
      </c>
      <c r="I184">
        <v>10</v>
      </c>
      <c r="J184">
        <v>41511.599999999999</v>
      </c>
    </row>
    <row r="185" spans="1:10" x14ac:dyDescent="0.25">
      <c r="A185" s="1" t="s">
        <v>223</v>
      </c>
      <c r="B185" s="2">
        <v>45730</v>
      </c>
      <c r="C185" s="3" t="s">
        <v>20</v>
      </c>
      <c r="D185" t="s">
        <v>12</v>
      </c>
      <c r="E185" t="s">
        <v>38</v>
      </c>
      <c r="F185" t="s">
        <v>39</v>
      </c>
      <c r="G185" s="4">
        <v>11</v>
      </c>
      <c r="H185">
        <v>974</v>
      </c>
      <c r="I185">
        <v>15</v>
      </c>
      <c r="J185">
        <v>9106.9</v>
      </c>
    </row>
    <row r="186" spans="1:10" x14ac:dyDescent="0.25">
      <c r="A186" s="1" t="s">
        <v>224</v>
      </c>
      <c r="B186" s="2">
        <v>45747</v>
      </c>
      <c r="C186" s="3" t="s">
        <v>20</v>
      </c>
      <c r="D186" t="s">
        <v>12</v>
      </c>
      <c r="E186" t="s">
        <v>24</v>
      </c>
      <c r="F186" t="s">
        <v>56</v>
      </c>
      <c r="G186" s="4">
        <v>3</v>
      </c>
      <c r="H186">
        <v>4973</v>
      </c>
      <c r="I186">
        <v>5</v>
      </c>
      <c r="J186">
        <v>14173.05</v>
      </c>
    </row>
    <row r="187" spans="1:10" x14ac:dyDescent="0.25">
      <c r="A187" s="1" t="s">
        <v>225</v>
      </c>
      <c r="B187" s="2">
        <v>45801</v>
      </c>
      <c r="C187" s="3" t="s">
        <v>36</v>
      </c>
      <c r="D187" t="s">
        <v>12</v>
      </c>
      <c r="E187" t="s">
        <v>28</v>
      </c>
      <c r="F187" t="s">
        <v>44</v>
      </c>
      <c r="G187" s="4">
        <v>20</v>
      </c>
      <c r="H187">
        <v>894</v>
      </c>
      <c r="I187">
        <v>10</v>
      </c>
      <c r="J187">
        <v>16092</v>
      </c>
    </row>
    <row r="188" spans="1:10" x14ac:dyDescent="0.25">
      <c r="A188" s="1" t="s">
        <v>226</v>
      </c>
      <c r="B188" s="2">
        <v>45788</v>
      </c>
      <c r="C188" s="3" t="s">
        <v>20</v>
      </c>
      <c r="D188" t="s">
        <v>21</v>
      </c>
      <c r="E188" t="s">
        <v>38</v>
      </c>
      <c r="F188" t="s">
        <v>41</v>
      </c>
      <c r="G188" s="4">
        <v>17</v>
      </c>
      <c r="H188">
        <v>965</v>
      </c>
      <c r="I188">
        <v>15</v>
      </c>
      <c r="J188">
        <v>13944.25</v>
      </c>
    </row>
    <row r="189" spans="1:10" x14ac:dyDescent="0.25">
      <c r="A189" s="1" t="s">
        <v>227</v>
      </c>
      <c r="B189" s="2">
        <v>45782</v>
      </c>
      <c r="C189" s="3" t="s">
        <v>16</v>
      </c>
      <c r="D189" t="s">
        <v>33</v>
      </c>
      <c r="E189" t="s">
        <v>38</v>
      </c>
      <c r="F189" t="s">
        <v>50</v>
      </c>
      <c r="G189" s="4">
        <v>6</v>
      </c>
      <c r="H189">
        <v>1954</v>
      </c>
      <c r="I189">
        <v>10</v>
      </c>
      <c r="J189">
        <v>10551.6</v>
      </c>
    </row>
    <row r="190" spans="1:10" x14ac:dyDescent="0.25">
      <c r="A190" s="1" t="s">
        <v>228</v>
      </c>
      <c r="B190" s="2">
        <v>45787</v>
      </c>
      <c r="C190" s="3" t="s">
        <v>11</v>
      </c>
      <c r="D190" t="s">
        <v>12</v>
      </c>
      <c r="E190" t="s">
        <v>24</v>
      </c>
      <c r="F190" t="s">
        <v>87</v>
      </c>
      <c r="G190" s="4">
        <v>3</v>
      </c>
      <c r="H190">
        <v>2623</v>
      </c>
      <c r="I190">
        <v>0</v>
      </c>
      <c r="J190">
        <v>7869</v>
      </c>
    </row>
    <row r="191" spans="1:10" x14ac:dyDescent="0.25">
      <c r="A191" s="1" t="s">
        <v>229</v>
      </c>
      <c r="B191" s="2">
        <v>45699</v>
      </c>
      <c r="C191" s="3" t="s">
        <v>16</v>
      </c>
      <c r="D191" t="s">
        <v>12</v>
      </c>
      <c r="E191" t="s">
        <v>38</v>
      </c>
      <c r="F191" t="s">
        <v>41</v>
      </c>
      <c r="G191" s="4">
        <v>20</v>
      </c>
      <c r="H191">
        <v>3286</v>
      </c>
      <c r="I191">
        <v>5</v>
      </c>
      <c r="J191">
        <v>62434</v>
      </c>
    </row>
    <row r="192" spans="1:10" x14ac:dyDescent="0.25">
      <c r="A192" s="1" t="s">
        <v>230</v>
      </c>
      <c r="B192" s="2">
        <v>45831</v>
      </c>
      <c r="C192" s="3" t="s">
        <v>16</v>
      </c>
      <c r="D192" t="s">
        <v>37</v>
      </c>
      <c r="E192" t="s">
        <v>24</v>
      </c>
      <c r="F192" t="s">
        <v>25</v>
      </c>
      <c r="G192" s="4">
        <v>2</v>
      </c>
      <c r="H192">
        <v>3565</v>
      </c>
      <c r="I192">
        <v>10</v>
      </c>
      <c r="J192">
        <v>6417</v>
      </c>
    </row>
    <row r="193" spans="1:10" x14ac:dyDescent="0.25">
      <c r="A193" s="1" t="s">
        <v>231</v>
      </c>
      <c r="B193" s="2">
        <v>45737</v>
      </c>
      <c r="C193" s="3" t="s">
        <v>36</v>
      </c>
      <c r="D193" t="s">
        <v>33</v>
      </c>
      <c r="E193" t="s">
        <v>38</v>
      </c>
      <c r="F193" t="s">
        <v>58</v>
      </c>
      <c r="G193" s="4">
        <v>8</v>
      </c>
      <c r="H193">
        <v>4574</v>
      </c>
      <c r="I193">
        <v>5</v>
      </c>
      <c r="J193">
        <v>34762.400000000001</v>
      </c>
    </row>
    <row r="194" spans="1:10" x14ac:dyDescent="0.25">
      <c r="A194" s="1" t="s">
        <v>232</v>
      </c>
      <c r="B194" s="2">
        <v>45786</v>
      </c>
      <c r="C194" s="3" t="s">
        <v>36</v>
      </c>
      <c r="D194" t="s">
        <v>33</v>
      </c>
      <c r="E194" t="s">
        <v>38</v>
      </c>
      <c r="F194" t="s">
        <v>58</v>
      </c>
      <c r="G194" s="4">
        <v>15</v>
      </c>
      <c r="H194">
        <v>2508</v>
      </c>
      <c r="I194">
        <v>15</v>
      </c>
      <c r="J194">
        <v>31977</v>
      </c>
    </row>
    <row r="195" spans="1:10" x14ac:dyDescent="0.25">
      <c r="A195" s="1" t="s">
        <v>233</v>
      </c>
      <c r="B195" s="2">
        <v>45753</v>
      </c>
      <c r="C195" s="3" t="s">
        <v>11</v>
      </c>
      <c r="D195" t="s">
        <v>12</v>
      </c>
      <c r="E195" t="s">
        <v>24</v>
      </c>
      <c r="F195" t="s">
        <v>87</v>
      </c>
      <c r="G195" s="4">
        <v>9</v>
      </c>
      <c r="H195">
        <v>627</v>
      </c>
      <c r="I195">
        <v>15</v>
      </c>
      <c r="J195">
        <v>4796.55</v>
      </c>
    </row>
    <row r="196" spans="1:10" x14ac:dyDescent="0.25">
      <c r="A196" s="1" t="s">
        <v>234</v>
      </c>
      <c r="B196" s="2">
        <v>45773</v>
      </c>
      <c r="C196" s="3" t="s">
        <v>16</v>
      </c>
      <c r="D196" t="s">
        <v>37</v>
      </c>
      <c r="E196" t="s">
        <v>13</v>
      </c>
      <c r="F196" t="s">
        <v>60</v>
      </c>
      <c r="G196" s="4">
        <v>3</v>
      </c>
      <c r="H196">
        <v>1513</v>
      </c>
      <c r="I196">
        <v>10</v>
      </c>
      <c r="J196">
        <v>4085.1</v>
      </c>
    </row>
    <row r="197" spans="1:10" x14ac:dyDescent="0.25">
      <c r="A197" s="1" t="s">
        <v>235</v>
      </c>
      <c r="B197" s="2">
        <v>45764</v>
      </c>
      <c r="C197" s="3" t="s">
        <v>11</v>
      </c>
      <c r="D197" t="s">
        <v>37</v>
      </c>
      <c r="E197" t="s">
        <v>13</v>
      </c>
      <c r="F197" t="s">
        <v>22</v>
      </c>
      <c r="G197" s="4">
        <v>15</v>
      </c>
      <c r="H197">
        <v>3063</v>
      </c>
      <c r="I197">
        <v>0</v>
      </c>
      <c r="J197">
        <v>45945</v>
      </c>
    </row>
    <row r="198" spans="1:10" x14ac:dyDescent="0.25">
      <c r="A198" s="1" t="s">
        <v>236</v>
      </c>
      <c r="B198" s="2">
        <v>45715</v>
      </c>
      <c r="C198" s="3" t="s">
        <v>11</v>
      </c>
      <c r="D198" t="s">
        <v>64</v>
      </c>
      <c r="E198" t="s">
        <v>38</v>
      </c>
      <c r="F198" t="s">
        <v>41</v>
      </c>
      <c r="G198" s="4">
        <v>13</v>
      </c>
      <c r="H198">
        <v>868</v>
      </c>
      <c r="I198">
        <v>10</v>
      </c>
      <c r="J198">
        <v>10155.6</v>
      </c>
    </row>
    <row r="199" spans="1:10" x14ac:dyDescent="0.25">
      <c r="A199" s="1" t="s">
        <v>237</v>
      </c>
      <c r="B199" s="2">
        <v>45731</v>
      </c>
      <c r="C199" s="3" t="s">
        <v>36</v>
      </c>
      <c r="D199" t="s">
        <v>12</v>
      </c>
      <c r="E199" t="s">
        <v>13</v>
      </c>
      <c r="F199" t="s">
        <v>60</v>
      </c>
      <c r="G199" s="4">
        <v>5</v>
      </c>
      <c r="H199">
        <v>1327</v>
      </c>
      <c r="I199">
        <v>0</v>
      </c>
      <c r="J199">
        <v>6635</v>
      </c>
    </row>
    <row r="200" spans="1:10" x14ac:dyDescent="0.25">
      <c r="A200" s="1" t="s">
        <v>238</v>
      </c>
      <c r="B200" s="2">
        <v>45662</v>
      </c>
      <c r="C200" s="3" t="s">
        <v>20</v>
      </c>
      <c r="D200" t="s">
        <v>33</v>
      </c>
      <c r="E200" t="s">
        <v>24</v>
      </c>
      <c r="F200" t="s">
        <v>25</v>
      </c>
      <c r="G200" s="4">
        <v>15</v>
      </c>
      <c r="H200">
        <v>243</v>
      </c>
      <c r="I200">
        <v>0</v>
      </c>
      <c r="J200">
        <v>3645</v>
      </c>
    </row>
    <row r="201" spans="1:10" x14ac:dyDescent="0.25">
      <c r="A201" s="1" t="s">
        <v>239</v>
      </c>
      <c r="B201" s="2">
        <v>45735</v>
      </c>
      <c r="C201" s="3" t="s">
        <v>11</v>
      </c>
      <c r="D201" t="s">
        <v>21</v>
      </c>
      <c r="E201" t="s">
        <v>24</v>
      </c>
      <c r="F201" t="s">
        <v>25</v>
      </c>
      <c r="G201" s="4">
        <v>4</v>
      </c>
      <c r="H201">
        <v>2560</v>
      </c>
      <c r="I201">
        <v>5</v>
      </c>
      <c r="J201">
        <v>9728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71" zoomScaleNormal="71" workbookViewId="0">
      <selection activeCell="V27" sqref="V2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MONTH VS SALE</vt:lpstr>
      <vt:lpstr>REVENUE</vt:lpstr>
      <vt:lpstr>AVERAGE SALES</vt:lpstr>
      <vt:lpstr>TOTAL ORDERS </vt:lpstr>
      <vt:lpstr>CATEGORY SALES</vt:lpstr>
      <vt:lpstr>Sheet17</vt:lpstr>
      <vt:lpstr>Sheet18</vt:lpstr>
      <vt:lpstr>Sheet19</vt:lpstr>
      <vt:lpstr>Sheet20</vt:lpstr>
      <vt:lpstr>excel_portfolio_sales_dataset (</vt:lpstr>
      <vt:lpstr>Final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Yadav</dc:creator>
  <cp:lastModifiedBy>Praveen Yadav</cp:lastModifiedBy>
  <dcterms:created xsi:type="dcterms:W3CDTF">2026-04-28T11:45:01Z</dcterms:created>
  <dcterms:modified xsi:type="dcterms:W3CDTF">2026-04-29T11:17:39Z</dcterms:modified>
</cp:coreProperties>
</file>